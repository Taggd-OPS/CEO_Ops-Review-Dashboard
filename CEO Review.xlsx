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3929" documentId="8_{231760F8-40C3-4E52-9138-CD9DD8E2170C}" xr6:coauthVersionLast="47" xr6:coauthVersionMax="47" xr10:uidLastSave="{244BBF0A-1309-4400-8D82-23588023FE0C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Actual!$A$2:$GS$64</definedName>
    <definedName name="_xlnm._FilterDatabase" localSheetId="2" hidden="1">'Collection Detail'!$A$2:$AF$68</definedName>
    <definedName name="_xlnm._FilterDatabase" localSheetId="0" hidden="1">Sheet1!$A$2:$F$63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F23" i="1" l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I12" i="1"/>
  <c r="AM12" i="2"/>
  <c r="AM3" i="1"/>
  <c r="AY55" i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K7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<sst xmlns="http://schemas.openxmlformats.org/spreadsheetml/2006/main" count="1894" uniqueCount="165">
  <si>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</si>
  <si>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</si>
  <si>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</si>
  <si>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</si>
  <si>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</si>
  <si>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</si>
  <si>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</si>
  <si>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</si>
  <si>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</si>
  <si>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</si>
  <si>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</si>
  <si>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</si>
  <si>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</si>
  <si>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</si>
  <si>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</si>
  <si>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</si>
  <si>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</si>
  <si>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</si>
  <si>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</si>
  <si>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</si>
  <si>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</si>
  <si>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</si>
  <si>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</si>
  <si>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</si>
  <si>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</si>
  <si>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</si>
  <si>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</si>
  <si>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</si>
  <si>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</si>
  <si>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</si>
  <si>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</si>
  <si>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</si>
  <si>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</si>
  <si>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</si>
  <si>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</si>
  <si>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</si>
  <si>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</si>
  <si>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</si>
  <si>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</si>
  <si>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</si>
  <si>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</si>
  <si>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</si>
  <si>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</si>
  <si>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</si>
  <si>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</si>
  <si>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</si>
  <si>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</si>
  <si>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</si>
  <si>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</si>
  <si>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</si>
  <si>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</si>
  <si>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</si>
  <si>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</si>
  <si>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</si>
  <si>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</si>
  <si>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</si>
  <si>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</si>
  <si>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</si>
  <si>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</si>
  <si>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</si>
  <si>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</si>
  <si>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</si>
  <si>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</si>
  <si>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</si>
  <si>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</si>
  <si>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</si>
  <si>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</si>
  <si>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</si>
  <si>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</si>
  <si>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</si>
  <si>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</si>
  <si>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</si>
  <si>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</si>
  <si>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</si>
  <si>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</si>
  <si>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</si>
  <si>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</si>
  <si>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</si>
  <si>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</si>
  <si>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</si>
  <si>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</si>
  <si>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</si>
  <si>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</si>
  <si>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</si>
  <si>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Parul Jain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</si>
  <si>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</si>
  <si>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</si>
  <si>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</si>
  <si>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</si>
  <si>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</si>
  <si>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</si>
  <si>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</si>
  <si>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</si>
  <si>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</si>
  <si>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</si>
  <si>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</si>
  <si>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</si>
  <si>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</si>
  <si>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</si>
  <si>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</si>
  <si>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</si>
  <si>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</si>
  <si>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</si>
  <si>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</si>
  <si>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</si>
  <si>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</si>
  <si>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</si>
  <si>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</si>
  <si>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</si>
  <si>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</si>
  <si>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</si>
  <si>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</si>
  <si>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</si>
  <si>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</si>
  <si>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</si>
  <si>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</si>
  <si>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</si>
  <si>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</si>
  <si>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</si>
  <si>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</si>
  <si>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</si>
  <si>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</si>
  <si>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</si>
  <si>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</si>
  <si>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</si>
  <si>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</si>
  <si>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</si>
  <si>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</si>
  <si>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</si>
  <si>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</si>
  <si>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</si>
  <si>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</si>
  <si>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</si>
  <si>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</si>
  <si>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</si>
  <si>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</si>
  <si>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</si>
  <si>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</si>
  <si>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</si>
  <si>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</si>
  <si>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</si>
  <si>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</si>
  <si>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</si>
  <si>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</si>
  <si>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</si>
  <si>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</si>
  <si>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</si>
  <si>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</si>
  <si>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</si>
  <si>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</si>
  <si>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</si>
  <si>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</si>
  <si>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</si>
  <si>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</si>
  <si>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Satyanarayana Ruttala</t>
  </si>
  <si>
    <t>Subramanyapavan Jonnalagadda</t>
  </si>
  <si>
    <t>Acutal Collection</t>
  </si>
  <si>
    <t>Not Applicable</t>
  </si>
  <si>
    <t>YTD Total</t>
  </si>
  <si>
    <t>Vertical</t>
  </si>
  <si>
    <t>Non TARA</t>
  </si>
  <si>
    <t>TARA</t>
  </si>
  <si>
    <t>Jyoti Sarwan</t>
  </si>
  <si>
    <t>Subu</t>
  </si>
  <si>
    <t>Satya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</si>
</sst>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3"/>
  <sheetViews>
    <sheetView tabSelected="1" workbookViewId="0">
      <pane xSplit="1" ySplit="2" topLeftCell="BH3" activePane="bottomRight" state="frozen"/>
      <selection pane="topRight" activeCell="B1" sqref="B1"/>
      <selection pane="bottomLeft" activeCell="A3" sqref="A3"/>
      <selection pane="bottomRight" activeCell="BM2" sqref="BM2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9" t="s">
        <v>24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V1" s="41" t="s">
        <v>29</v>
      </c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J1" s="39" t="s">
        <v>31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X1" s="41" t="s">
        <v>32</v>
      </c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L1" s="40" t="s">
        <v>33</v>
      </c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Z1" s="38" t="s">
        <v>75</v>
      </c>
      <c r="CA1" s="38"/>
      <c r="CB1" s="38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92</v>
      </c>
      <c r="CN1" s="20" t="s">
        <v>94</v>
      </c>
      <c r="CP1" s="20" t="s">
        <v>35</v>
      </c>
    </row>
    <row r="2" spans="1:94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103</v>
      </c>
      <c r="O2" s="1" t="s">
        <v>102</v>
      </c>
      <c r="P2" s="1" t="s">
        <v>34</v>
      </c>
      <c r="Q2" s="1" t="s">
        <v>28</v>
      </c>
      <c r="R2" s="11" t="s">
        <v>124</v>
      </c>
      <c r="S2" s="11" t="s">
        <v>125</v>
      </c>
      <c r="T2" s="11" t="s">
        <v>126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103</v>
      </c>
      <c r="AC2" s="1" t="s">
        <v>102</v>
      </c>
      <c r="AD2" s="1" t="s">
        <v>34</v>
      </c>
      <c r="AE2" s="1" t="s">
        <v>28</v>
      </c>
      <c r="AF2" s="11" t="s">
        <v>124</v>
      </c>
      <c r="AG2" s="11" t="s">
        <v>125</v>
      </c>
      <c r="AH2" s="11" t="s">
        <v>126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103</v>
      </c>
      <c r="AQ2" s="1" t="s">
        <v>102</v>
      </c>
      <c r="AR2" s="1" t="s">
        <v>34</v>
      </c>
      <c r="AS2" s="1" t="s">
        <v>28</v>
      </c>
      <c r="AT2" s="11" t="s">
        <v>124</v>
      </c>
      <c r="AU2" s="11" t="s">
        <v>125</v>
      </c>
      <c r="AV2" s="11" t="s">
        <v>126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103</v>
      </c>
      <c r="BE2" s="1" t="s">
        <v>102</v>
      </c>
      <c r="BF2" s="1" t="s">
        <v>34</v>
      </c>
      <c r="BG2" s="1" t="s">
        <v>28</v>
      </c>
      <c r="BH2" s="11" t="s">
        <v>124</v>
      </c>
      <c r="BI2" s="11" t="s">
        <v>125</v>
      </c>
      <c r="BJ2" s="11" t="s">
        <v>126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103</v>
      </c>
      <c r="BS2" s="1" t="s">
        <v>102</v>
      </c>
      <c r="BT2" s="1" t="s">
        <v>34</v>
      </c>
      <c r="BU2" s="1" t="s">
        <v>28</v>
      </c>
      <c r="BV2" s="11" t="s">
        <v>124</v>
      </c>
      <c r="BW2" s="11" t="s">
        <v>125</v>
      </c>
      <c r="BX2" s="11" t="s">
        <v>126</v>
      </c>
      <c r="BZ2" s="10" t="s">
        <v>76</v>
      </c>
      <c r="CA2" s="10" t="s">
        <v>77</v>
      </c>
      <c r="CB2" s="10" t="s">
        <v>101</v>
      </c>
      <c r="CD2" s="11" t="s">
        <v>99</v>
      </c>
      <c r="CF2" s="11" t="s">
        <v>100</v>
      </c>
      <c r="CH2" s="11" t="s">
        <v>88</v>
      </c>
      <c r="CJ2" s="11" t="s">
        <v>89</v>
      </c>
      <c r="CL2" s="11" t="s">
        <v>93</v>
      </c>
      <c r="CN2" s="11" t="s">
        <v>95</v>
      </c>
      <c r="CP2" s="11" t="s">
        <v>98</v>
      </c>
    </row>
    <row r="3" spans="1:94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G3" s="12"/>
      <c r="H3" s="14">
        <v>475</v>
      </c>
      <c r="I3" s="7">
        <v>459</v>
      </c>
      <c r="J3" s="3">
        <v>279.79016104296409</v>
      </c>
      <c r="K3" s="4">
        <f t="shared" ref="K3:K34" si="0">IFERROR(J3/I3,0)</f>
        <v>0.6095646210086364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1">
        <v>362.79999999999995</v>
      </c>
      <c r="S3" s="31">
        <v>243.20000000000002</v>
      </c>
      <c r="T3" s="31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1"/>
      <c r="AG3" s="31"/>
      <c r="AH3" s="31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1"/>
      <c r="AU3" s="31"/>
      <c r="AV3" s="31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2"/>
      <c r="BI3" s="32"/>
      <c r="BJ3" s="32"/>
      <c r="BK3" s="9"/>
      <c r="BL3" s="17">
        <f t="shared" ref="BL3:BL34" si="1">V3+AJ3+AX3+H3</f>
        <v>1725</v>
      </c>
      <c r="BM3" s="17">
        <f t="shared" ref="BM3:BM34" si="2">W3+AK3+AY3+I3</f>
        <v>1709</v>
      </c>
      <c r="BN3" s="17">
        <f t="shared" ref="BN3:BN34" si="3">X3+AL3+AZ3+J3</f>
        <v>891.74158645504383</v>
      </c>
      <c r="BO3" s="4">
        <f>IFERROR(BN3/BM3,0)</f>
        <v>0.52179144906673136</v>
      </c>
      <c r="BP3" s="3">
        <f t="shared" ref="BP3:BP34" si="4">AVERAGE(L3,Z3,AN3,BB3)</f>
        <v>115691.90563750446</v>
      </c>
      <c r="BQ3" s="7">
        <f t="shared" ref="BQ3:BQ34" si="5">AVERAGE(M3,AA3,AO3,BC3)</f>
        <v>57.333333333333336</v>
      </c>
      <c r="BR3" s="3"/>
      <c r="BS3" s="3"/>
      <c r="BT3" s="7"/>
      <c r="BU3" s="7">
        <f>AVERAGE(Q3,AE3,AS3,BG3)</f>
        <v>3.9491758241758244</v>
      </c>
      <c r="BV3" s="30"/>
      <c r="BW3" s="30"/>
      <c r="BX3" s="30"/>
      <c r="BZ3" s="5" t="s">
        <v>90</v>
      </c>
      <c r="CA3" s="5" t="s">
        <v>90</v>
      </c>
      <c r="CB3" s="5" t="s">
        <v>90</v>
      </c>
      <c r="CF3">
        <v>176.11369999999999</v>
      </c>
      <c r="CJ3" s="5" t="s">
        <v>91</v>
      </c>
      <c r="CL3" t="s">
        <v>91</v>
      </c>
      <c r="CN3" s="5" t="s">
        <v>96</v>
      </c>
      <c r="CP3" t="s">
        <v>90</v>
      </c>
    </row>
    <row r="4" spans="1:94" x14ac:dyDescent="0.35">
      <c r="A4" s="3" t="s">
        <v>60</v>
      </c>
      <c r="B4" s="3" t="s">
        <v>160</v>
      </c>
      <c r="C4" s="2" t="s">
        <v>144</v>
      </c>
      <c r="D4" s="2" t="s">
        <v>144</v>
      </c>
      <c r="E4" s="2" t="s">
        <v>107</v>
      </c>
      <c r="F4" s="3" t="s">
        <v>69</v>
      </c>
      <c r="G4" s="5"/>
      <c r="H4" s="14">
        <v>5</v>
      </c>
      <c r="I4" s="7">
        <v>13.696200000000001</v>
      </c>
      <c r="J4" s="3">
        <v>1.5631762572050842</v>
      </c>
      <c r="K4" s="4">
        <f t="shared" si="0"/>
        <v>0.11413211381296157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123</v>
      </c>
      <c r="Q4" s="7">
        <v>0</v>
      </c>
      <c r="R4" s="31">
        <v>3</v>
      </c>
      <c r="S4" s="31">
        <v>6</v>
      </c>
      <c r="T4" s="31">
        <f t="shared" ref="T4:T63" si="6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7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30"/>
      <c r="AG4" s="30"/>
      <c r="AH4" s="30"/>
      <c r="AJ4" s="3">
        <v>5</v>
      </c>
      <c r="AK4" s="3">
        <v>5</v>
      </c>
      <c r="AL4" s="3">
        <v>-6.6858564875373574</v>
      </c>
      <c r="AM4" s="4">
        <f t="shared" ref="AM4:AM63" si="8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30"/>
      <c r="AU4" s="30"/>
      <c r="AV4" s="30"/>
      <c r="AX4" s="17">
        <v>5</v>
      </c>
      <c r="AY4" s="17">
        <v>5</v>
      </c>
      <c r="AZ4" s="17">
        <v>-6.6858564875373574</v>
      </c>
      <c r="BA4" s="4">
        <f t="shared" ref="BA4:BA63" si="9">IFERROR(AZ4/AY4,0)</f>
        <v>-1.3371712975074714</v>
      </c>
      <c r="BB4" s="3">
        <v>190746.07500528404</v>
      </c>
      <c r="BC4" s="17">
        <f t="shared" ref="BC4:BC60" si="10">AO4</f>
        <v>2</v>
      </c>
      <c r="BD4" s="17"/>
      <c r="BE4" s="17"/>
      <c r="BF4" s="3"/>
      <c r="BG4" s="7">
        <v>0</v>
      </c>
      <c r="BH4" s="30"/>
      <c r="BI4" s="30"/>
      <c r="BJ4" s="30"/>
      <c r="BL4" s="17">
        <f t="shared" si="1"/>
        <v>20</v>
      </c>
      <c r="BM4" s="17">
        <f t="shared" si="2"/>
        <v>28.696200000000001</v>
      </c>
      <c r="BN4" s="17">
        <f t="shared" si="3"/>
        <v>-18.494393205406986</v>
      </c>
      <c r="BO4" s="4">
        <f t="shared" ref="BO4:BO63" si="11">IFERROR(BN4/BM4,0)</f>
        <v>-0.64448927751433938</v>
      </c>
      <c r="BP4" s="3">
        <f t="shared" si="4"/>
        <v>186410.93693698212</v>
      </c>
      <c r="BQ4" s="7">
        <f t="shared" si="5"/>
        <v>2</v>
      </c>
      <c r="BR4" s="3"/>
      <c r="BS4" s="3"/>
      <c r="BT4" s="7"/>
      <c r="BU4" s="7">
        <f t="shared" ref="BU4:BU60" si="12">AVERAGE(Q4,AE4,AS4,BG4)</f>
        <v>0</v>
      </c>
      <c r="BV4" s="30"/>
      <c r="BW4" s="30"/>
      <c r="BX4" s="30"/>
      <c r="BZ4" s="5" t="s">
        <v>90</v>
      </c>
      <c r="CA4" s="5" t="s">
        <v>90</v>
      </c>
      <c r="CB4" s="5" t="s">
        <v>90</v>
      </c>
      <c r="CD4" s="21"/>
      <c r="CF4">
        <v>7.25</v>
      </c>
      <c r="CJ4" s="5" t="s">
        <v>91</v>
      </c>
      <c r="CL4" t="s">
        <v>91</v>
      </c>
      <c r="CN4" s="5" t="s">
        <v>96</v>
      </c>
      <c r="CP4" t="s">
        <v>91</v>
      </c>
    </row>
    <row r="5" spans="1:94" x14ac:dyDescent="0.35">
      <c r="A5" s="3" t="s">
        <v>7</v>
      </c>
      <c r="B5" s="3" t="s">
        <v>160</v>
      </c>
      <c r="C5" s="3" t="s">
        <v>142</v>
      </c>
      <c r="D5" s="3" t="s">
        <v>83</v>
      </c>
      <c r="E5" s="25" t="s">
        <v>107</v>
      </c>
      <c r="F5" s="3" t="s">
        <v>2</v>
      </c>
      <c r="G5" s="5"/>
      <c r="H5" s="14">
        <v>24</v>
      </c>
      <c r="I5" s="7">
        <v>23.2546766</v>
      </c>
      <c r="J5" s="3">
        <v>7.1569220320198905</v>
      </c>
      <c r="K5" s="4">
        <f t="shared" si="0"/>
        <v>0.30776269888095931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1">
        <v>22</v>
      </c>
      <c r="S5" s="31">
        <v>11</v>
      </c>
      <c r="T5" s="31">
        <f t="shared" si="6"/>
        <v>33</v>
      </c>
      <c r="U5" s="15"/>
      <c r="V5" s="7">
        <v>24</v>
      </c>
      <c r="W5" s="7">
        <v>24</v>
      </c>
      <c r="X5" s="3">
        <v>7.1946064492771349</v>
      </c>
      <c r="Y5" s="4">
        <f t="shared" si="7"/>
        <v>0.29977526871988064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30"/>
      <c r="AG5" s="30"/>
      <c r="AH5" s="30"/>
      <c r="AJ5" s="3">
        <v>15</v>
      </c>
      <c r="AK5" s="3">
        <v>15</v>
      </c>
      <c r="AL5" s="3">
        <v>-1.8053935507228651</v>
      </c>
      <c r="AM5" s="4">
        <f t="shared" si="8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30"/>
      <c r="AU5" s="30"/>
      <c r="AV5" s="30"/>
      <c r="AX5" s="17">
        <v>17</v>
      </c>
      <c r="AY5" s="17">
        <v>17</v>
      </c>
      <c r="AZ5" s="17">
        <v>0.19460644927713489</v>
      </c>
      <c r="BA5" s="4">
        <f t="shared" si="9"/>
        <v>1.1447438192772641E-2</v>
      </c>
      <c r="BB5" s="3">
        <v>111064.27936574571</v>
      </c>
      <c r="BC5" s="17">
        <f t="shared" si="10"/>
        <v>4</v>
      </c>
      <c r="BD5" s="17"/>
      <c r="BE5" s="17"/>
      <c r="BF5" s="3"/>
      <c r="BG5" s="7">
        <v>1.8888888888888888</v>
      </c>
      <c r="BH5" s="30"/>
      <c r="BI5" s="30"/>
      <c r="BJ5" s="30"/>
      <c r="BL5" s="17">
        <f t="shared" si="1"/>
        <v>80</v>
      </c>
      <c r="BM5" s="17">
        <f t="shared" si="2"/>
        <v>79.254676599999996</v>
      </c>
      <c r="BN5" s="17">
        <f t="shared" si="3"/>
        <v>12.740741379851295</v>
      </c>
      <c r="BO5" s="4">
        <f t="shared" si="11"/>
        <v>0.16075696635738079</v>
      </c>
      <c r="BP5" s="3">
        <f t="shared" si="4"/>
        <v>108540.0911983424</v>
      </c>
      <c r="BQ5" s="7">
        <f t="shared" si="5"/>
        <v>4</v>
      </c>
      <c r="BR5" s="3"/>
      <c r="BS5" s="3"/>
      <c r="BT5" s="7"/>
      <c r="BU5" s="7">
        <f t="shared" si="12"/>
        <v>2.1888799055555554</v>
      </c>
      <c r="BV5" s="30"/>
      <c r="BW5" s="30"/>
      <c r="BX5" s="30"/>
      <c r="BZ5" s="5" t="s">
        <v>90</v>
      </c>
      <c r="CA5" s="5" t="s">
        <v>90</v>
      </c>
      <c r="CB5" s="5" t="s">
        <v>90</v>
      </c>
      <c r="CH5">
        <f>531000/100000</f>
        <v>5.31</v>
      </c>
      <c r="CJ5" s="5" t="s">
        <v>91</v>
      </c>
      <c r="CL5" t="s">
        <v>91</v>
      </c>
      <c r="CN5" s="5" t="s">
        <v>105</v>
      </c>
      <c r="CP5" t="s">
        <v>91</v>
      </c>
    </row>
    <row r="6" spans="1:94" x14ac:dyDescent="0.35">
      <c r="A6" s="36" t="s">
        <v>37</v>
      </c>
      <c r="B6" s="3" t="s">
        <v>160</v>
      </c>
      <c r="C6" s="3" t="s">
        <v>142</v>
      </c>
      <c r="D6" s="3" t="s">
        <v>127</v>
      </c>
      <c r="E6" s="25" t="s">
        <v>107</v>
      </c>
      <c r="F6" s="3" t="s">
        <v>85</v>
      </c>
      <c r="G6" s="5"/>
      <c r="H6" s="14">
        <v>56</v>
      </c>
      <c r="I6" s="7">
        <v>79.400000000000006</v>
      </c>
      <c r="J6" s="3">
        <v>25.327033433140731</v>
      </c>
      <c r="K6" s="4">
        <f t="shared" si="0"/>
        <v>0.31898026993880013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1">
        <v>27</v>
      </c>
      <c r="S6" s="31">
        <v>22</v>
      </c>
      <c r="T6" s="31">
        <f t="shared" si="6"/>
        <v>49</v>
      </c>
      <c r="U6" s="15"/>
      <c r="V6" s="7">
        <v>63</v>
      </c>
      <c r="W6" s="7">
        <v>63</v>
      </c>
      <c r="X6" s="3">
        <v>4.1018832792274864</v>
      </c>
      <c r="Y6" s="4">
        <f t="shared" si="7"/>
        <v>6.5109258400436298E-2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30"/>
      <c r="AG6" s="30"/>
      <c r="AH6" s="30"/>
      <c r="AJ6" s="3">
        <v>57</v>
      </c>
      <c r="AK6" s="3">
        <v>57</v>
      </c>
      <c r="AL6" s="3">
        <v>-1.8981167207725136</v>
      </c>
      <c r="AM6" s="4">
        <f t="shared" si="8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30"/>
      <c r="AU6" s="30"/>
      <c r="AV6" s="30"/>
      <c r="AX6" s="17">
        <v>46</v>
      </c>
      <c r="AY6" s="17">
        <v>46</v>
      </c>
      <c r="AZ6" s="17">
        <v>-12.898116720772514</v>
      </c>
      <c r="BA6" s="4">
        <f t="shared" si="9"/>
        <v>-0.28039384175592419</v>
      </c>
      <c r="BB6" s="3">
        <v>121638.60335929081</v>
      </c>
      <c r="BC6" s="17">
        <f t="shared" si="10"/>
        <v>15.666666666666666</v>
      </c>
      <c r="BD6" s="17"/>
      <c r="BE6" s="17"/>
      <c r="BF6" s="3"/>
      <c r="BG6" s="7">
        <v>1.4886731391585759</v>
      </c>
      <c r="BH6" s="30"/>
      <c r="BI6" s="30"/>
      <c r="BJ6" s="30"/>
      <c r="BL6" s="17">
        <f t="shared" si="1"/>
        <v>222</v>
      </c>
      <c r="BM6" s="17">
        <f t="shared" si="2"/>
        <v>245.4</v>
      </c>
      <c r="BN6" s="17">
        <f t="shared" si="3"/>
        <v>14.63268327082319</v>
      </c>
      <c r="BO6" s="4">
        <f t="shared" si="11"/>
        <v>5.962788618917355E-2</v>
      </c>
      <c r="BP6" s="3">
        <f t="shared" si="4"/>
        <v>118874.08964657965</v>
      </c>
      <c r="BQ6" s="7">
        <f t="shared" si="5"/>
        <v>15.666666666666666</v>
      </c>
      <c r="BR6" s="3"/>
      <c r="BS6" s="3"/>
      <c r="BT6" s="7"/>
      <c r="BU6" s="7">
        <f t="shared" si="12"/>
        <v>1.6784789644012943</v>
      </c>
      <c r="BV6" s="30"/>
      <c r="BW6" s="30"/>
      <c r="BX6" s="30"/>
      <c r="BZ6" s="5" t="s">
        <v>90</v>
      </c>
      <c r="CA6" s="5" t="s">
        <v>90</v>
      </c>
      <c r="CB6" s="5" t="s">
        <v>90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91</v>
      </c>
      <c r="CL6" t="s">
        <v>91</v>
      </c>
      <c r="CN6" s="5" t="s">
        <v>96</v>
      </c>
      <c r="CP6" t="s">
        <v>91</v>
      </c>
    </row>
    <row r="7" spans="1:94" x14ac:dyDescent="0.35">
      <c r="A7" s="36" t="s">
        <v>38</v>
      </c>
      <c r="B7" s="3" t="s">
        <v>160</v>
      </c>
      <c r="C7" s="3" t="s">
        <v>146</v>
      </c>
      <c r="D7" s="3" t="s">
        <v>151</v>
      </c>
      <c r="E7" s="2" t="s">
        <v>107</v>
      </c>
      <c r="F7" s="3" t="s">
        <v>70</v>
      </c>
      <c r="G7" s="5"/>
      <c r="H7" s="14">
        <v>28.499999999999996</v>
      </c>
      <c r="I7" s="7">
        <v>20.388500000000001</v>
      </c>
      <c r="J7" s="3">
        <v>-10.035000578189329</v>
      </c>
      <c r="K7" s="4">
        <f t="shared" si="0"/>
        <v>-0.4921892526762307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1">
        <v>20</v>
      </c>
      <c r="S7" s="31">
        <v>6</v>
      </c>
      <c r="T7" s="31">
        <f t="shared" si="6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7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30"/>
      <c r="AG7" s="30"/>
      <c r="AH7" s="30"/>
      <c r="AJ7" s="3">
        <v>31.5</v>
      </c>
      <c r="AK7" s="3">
        <v>31.5</v>
      </c>
      <c r="AL7" s="3">
        <v>-4.665260995103182E-2</v>
      </c>
      <c r="AM7" s="4">
        <f t="shared" si="8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30"/>
      <c r="AU7" s="30"/>
      <c r="AV7" s="30"/>
      <c r="AX7" s="17">
        <v>35.700000000000003</v>
      </c>
      <c r="AY7" s="17">
        <v>35.700000000000003</v>
      </c>
      <c r="AZ7" s="17">
        <v>4.153347390048971</v>
      </c>
      <c r="BA7" s="4">
        <f t="shared" si="9"/>
        <v>0.11634026302658181</v>
      </c>
      <c r="BB7" s="3">
        <v>111442.54103677796</v>
      </c>
      <c r="BC7" s="17">
        <f t="shared" si="10"/>
        <v>6</v>
      </c>
      <c r="BD7" s="17"/>
      <c r="BE7" s="17"/>
      <c r="BF7" s="3"/>
      <c r="BG7" s="7">
        <v>2.3800000000000003</v>
      </c>
      <c r="BH7" s="30"/>
      <c r="BI7" s="30"/>
      <c r="BJ7" s="30"/>
      <c r="BL7" s="17">
        <f t="shared" si="1"/>
        <v>123.1</v>
      </c>
      <c r="BM7" s="17">
        <f t="shared" si="2"/>
        <v>106.67850000000001</v>
      </c>
      <c r="BN7" s="17">
        <f t="shared" si="3"/>
        <v>-18.384958408042422</v>
      </c>
      <c r="BO7" s="4">
        <f t="shared" si="11"/>
        <v>-0.17233986612149982</v>
      </c>
      <c r="BP7" s="3">
        <f t="shared" si="4"/>
        <v>108909.75601321482</v>
      </c>
      <c r="BQ7" s="7">
        <f t="shared" si="5"/>
        <v>6</v>
      </c>
      <c r="BR7" s="3"/>
      <c r="BS7" s="3"/>
      <c r="BT7" s="7"/>
      <c r="BU7" s="7">
        <f t="shared" si="12"/>
        <v>1.8953083333333334</v>
      </c>
      <c r="BV7" s="30"/>
      <c r="BW7" s="30"/>
      <c r="BX7" s="30"/>
      <c r="BZ7" s="5" t="s">
        <v>90</v>
      </c>
      <c r="CA7" s="5" t="s">
        <v>90</v>
      </c>
      <c r="CB7" s="5" t="s">
        <v>90</v>
      </c>
      <c r="CD7" s="21">
        <v>1.3674999999999999</v>
      </c>
      <c r="CF7">
        <f>3.7735+6.07</f>
        <v>9.8435000000000006</v>
      </c>
      <c r="CJ7" s="5" t="s">
        <v>91</v>
      </c>
      <c r="CL7" t="s">
        <v>91</v>
      </c>
      <c r="CN7" s="5" t="s">
        <v>96</v>
      </c>
      <c r="CP7" t="s">
        <v>91</v>
      </c>
    </row>
    <row r="8" spans="1:94" x14ac:dyDescent="0.35">
      <c r="A8" s="3" t="s">
        <v>39</v>
      </c>
      <c r="B8" s="3" t="s">
        <v>160</v>
      </c>
      <c r="C8" s="3" t="s">
        <v>142</v>
      </c>
      <c r="D8" s="3" t="s">
        <v>127</v>
      </c>
      <c r="E8" s="25" t="s">
        <v>107</v>
      </c>
      <c r="F8" s="3" t="s">
        <v>85</v>
      </c>
      <c r="G8" s="5"/>
      <c r="H8" s="14">
        <v>33</v>
      </c>
      <c r="I8" s="7">
        <v>38.252499999999998</v>
      </c>
      <c r="J8" s="3">
        <v>14.320899955559089</v>
      </c>
      <c r="K8" s="4">
        <f t="shared" si="0"/>
        <v>0.37437814405748876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1">
        <v>50</v>
      </c>
      <c r="S8" s="31">
        <v>28</v>
      </c>
      <c r="T8" s="31">
        <f t="shared" si="6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7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30"/>
      <c r="AG8" s="30"/>
      <c r="AH8" s="30"/>
      <c r="AJ8" s="3">
        <v>30.6</v>
      </c>
      <c r="AK8" s="3">
        <v>30.6</v>
      </c>
      <c r="AL8" s="3">
        <v>5.8065396211971532</v>
      </c>
      <c r="AM8" s="4">
        <f t="shared" si="8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30"/>
      <c r="AU8" s="30"/>
      <c r="AV8" s="30"/>
      <c r="AX8" s="17">
        <v>36.6</v>
      </c>
      <c r="AY8" s="17">
        <v>36.6</v>
      </c>
      <c r="AZ8" s="17">
        <v>11.806539621197153</v>
      </c>
      <c r="BA8" s="4">
        <f t="shared" si="9"/>
        <v>0.32258304975948504</v>
      </c>
      <c r="BB8" s="3">
        <v>111100.00000000001</v>
      </c>
      <c r="BC8" s="17">
        <f t="shared" si="10"/>
        <v>8.1666666666666661</v>
      </c>
      <c r="BD8" s="17"/>
      <c r="BE8" s="17"/>
      <c r="BF8" s="3"/>
      <c r="BG8" s="7">
        <v>1.5250000000000001</v>
      </c>
      <c r="BH8" s="30"/>
      <c r="BI8" s="30"/>
      <c r="BJ8" s="30"/>
      <c r="BL8" s="17">
        <f t="shared" si="1"/>
        <v>134.69999999999999</v>
      </c>
      <c r="BM8" s="17">
        <f t="shared" si="2"/>
        <v>139.95249999999999</v>
      </c>
      <c r="BN8" s="17">
        <f t="shared" si="3"/>
        <v>41.640518819150543</v>
      </c>
      <c r="BO8" s="4">
        <f t="shared" si="11"/>
        <v>0.29753322605277183</v>
      </c>
      <c r="BP8" s="3">
        <f t="shared" si="4"/>
        <v>108575</v>
      </c>
      <c r="BQ8" s="7">
        <f t="shared" si="5"/>
        <v>8.1666666666666661</v>
      </c>
      <c r="BR8" s="3"/>
      <c r="BS8" s="3"/>
      <c r="BT8" s="7"/>
      <c r="BU8" s="7">
        <f t="shared" si="12"/>
        <v>1.3630468750000002</v>
      </c>
      <c r="BV8" s="30"/>
      <c r="BW8" s="30"/>
      <c r="BX8" s="30"/>
      <c r="BZ8" s="5" t="s">
        <v>90</v>
      </c>
      <c r="CA8" s="5" t="s">
        <v>90</v>
      </c>
      <c r="CB8" s="5" t="s">
        <v>90</v>
      </c>
      <c r="CD8" s="21"/>
      <c r="CF8">
        <v>2.0002599999999999</v>
      </c>
      <c r="CJ8" s="5" t="s">
        <v>91</v>
      </c>
      <c r="CL8" t="s">
        <v>91</v>
      </c>
      <c r="CN8" s="5" t="s">
        <v>104</v>
      </c>
      <c r="CP8" t="s">
        <v>91</v>
      </c>
    </row>
    <row r="9" spans="1:94" x14ac:dyDescent="0.35">
      <c r="A9" s="3" t="s">
        <v>8</v>
      </c>
      <c r="B9" s="3" t="s">
        <v>160</v>
      </c>
      <c r="C9" s="3" t="s">
        <v>142</v>
      </c>
      <c r="D9" s="3" t="s">
        <v>83</v>
      </c>
      <c r="E9" s="25" t="s">
        <v>107</v>
      </c>
      <c r="F9" s="3" t="s">
        <v>2</v>
      </c>
      <c r="G9" s="5"/>
      <c r="H9" s="14">
        <v>51.75</v>
      </c>
      <c r="I9" s="7">
        <v>23.024999999999999</v>
      </c>
      <c r="J9" s="3">
        <v>-4.8737981201329656</v>
      </c>
      <c r="K9" s="4">
        <f t="shared" si="0"/>
        <v>-0.21167418545637204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1">
        <v>31</v>
      </c>
      <c r="S9" s="31">
        <v>28</v>
      </c>
      <c r="T9" s="31">
        <f t="shared" si="6"/>
        <v>59</v>
      </c>
      <c r="U9" s="15"/>
      <c r="V9" s="7">
        <v>45.5</v>
      </c>
      <c r="W9" s="7">
        <v>42.75</v>
      </c>
      <c r="X9" s="3">
        <v>7.9225720575444001</v>
      </c>
      <c r="Y9" s="4">
        <f t="shared" si="7"/>
        <v>0.18532332298349474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30"/>
      <c r="AG9" s="30"/>
      <c r="AH9" s="30"/>
      <c r="AJ9" s="3">
        <v>48</v>
      </c>
      <c r="AK9" s="3">
        <v>48</v>
      </c>
      <c r="AL9" s="3">
        <v>13.1725720575444</v>
      </c>
      <c r="AM9" s="4">
        <f t="shared" si="8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30"/>
      <c r="AU9" s="30"/>
      <c r="AV9" s="30"/>
      <c r="AX9" s="17">
        <v>50.5</v>
      </c>
      <c r="AY9" s="17">
        <v>50.5</v>
      </c>
      <c r="AZ9" s="17">
        <v>15.6725720575444</v>
      </c>
      <c r="BA9" s="4">
        <f t="shared" si="9"/>
        <v>0.31034796153553268</v>
      </c>
      <c r="BB9" s="3">
        <v>88198.705860335351</v>
      </c>
      <c r="BC9" s="17">
        <f t="shared" si="10"/>
        <v>10.666666666666666</v>
      </c>
      <c r="BD9" s="17"/>
      <c r="BE9" s="17"/>
      <c r="BF9" s="3"/>
      <c r="BG9" s="7">
        <v>1.6833333333333333</v>
      </c>
      <c r="BH9" s="30"/>
      <c r="BI9" s="30"/>
      <c r="BJ9" s="30"/>
      <c r="BL9" s="17">
        <f t="shared" si="1"/>
        <v>195.75</v>
      </c>
      <c r="BM9" s="17">
        <f t="shared" si="2"/>
        <v>164.27500000000001</v>
      </c>
      <c r="BN9" s="17">
        <f t="shared" si="3"/>
        <v>31.893918052500233</v>
      </c>
      <c r="BO9" s="4">
        <f t="shared" si="11"/>
        <v>0.19414955442094189</v>
      </c>
      <c r="BP9" s="3">
        <f t="shared" si="4"/>
        <v>86194.189818055005</v>
      </c>
      <c r="BQ9" s="7">
        <f t="shared" si="5"/>
        <v>10.666666666666666</v>
      </c>
      <c r="BR9" s="3"/>
      <c r="BS9" s="3"/>
      <c r="BT9" s="7"/>
      <c r="BU9" s="7">
        <f t="shared" si="12"/>
        <v>1.409</v>
      </c>
      <c r="BV9" s="30"/>
      <c r="BW9" s="30"/>
      <c r="BX9" s="30"/>
      <c r="BZ9" s="5" t="s">
        <v>90</v>
      </c>
      <c r="CA9" s="5" t="s">
        <v>90</v>
      </c>
      <c r="CB9" s="5" t="s">
        <v>90</v>
      </c>
      <c r="CD9" s="21"/>
      <c r="CF9">
        <v>5.5449999999999999</v>
      </c>
      <c r="CH9">
        <f>2553800/100000</f>
        <v>25.538</v>
      </c>
      <c r="CJ9" s="5" t="s">
        <v>91</v>
      </c>
      <c r="CL9" t="s">
        <v>91</v>
      </c>
      <c r="CN9" s="5" t="s">
        <v>105</v>
      </c>
      <c r="CP9" t="s">
        <v>91</v>
      </c>
    </row>
    <row r="10" spans="1:94" x14ac:dyDescent="0.35">
      <c r="A10" s="3" t="s">
        <v>4</v>
      </c>
      <c r="B10" s="3" t="s">
        <v>160</v>
      </c>
      <c r="C10" s="3" t="s">
        <v>142</v>
      </c>
      <c r="D10" s="3" t="s">
        <v>83</v>
      </c>
      <c r="E10" s="25" t="s">
        <v>107</v>
      </c>
      <c r="F10" s="3" t="s">
        <v>2</v>
      </c>
      <c r="G10" s="5"/>
      <c r="H10" s="14">
        <v>10</v>
      </c>
      <c r="I10" s="7">
        <v>11.020519100000001</v>
      </c>
      <c r="J10" s="3">
        <v>3.052117688979787</v>
      </c>
      <c r="K10" s="4">
        <f t="shared" si="0"/>
        <v>0.27694863202766795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1">
        <v>7</v>
      </c>
      <c r="S10" s="31">
        <v>7</v>
      </c>
      <c r="T10" s="31">
        <f t="shared" si="6"/>
        <v>14</v>
      </c>
      <c r="U10" s="15"/>
      <c r="V10" s="7">
        <v>12</v>
      </c>
      <c r="W10" s="7">
        <v>11.21</v>
      </c>
      <c r="X10" s="3">
        <v>2.6859121366836085</v>
      </c>
      <c r="Y10" s="4">
        <f t="shared" si="7"/>
        <v>0.23959965536874295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30"/>
      <c r="AG10" s="30"/>
      <c r="AH10" s="30"/>
      <c r="AJ10" s="3">
        <v>13</v>
      </c>
      <c r="AK10" s="3">
        <v>13</v>
      </c>
      <c r="AL10" s="3">
        <v>4.4759121366836077</v>
      </c>
      <c r="AM10" s="4">
        <f t="shared" si="8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30"/>
      <c r="AU10" s="30"/>
      <c r="AV10" s="30"/>
      <c r="AX10" s="17">
        <v>13</v>
      </c>
      <c r="AY10" s="17">
        <v>13</v>
      </c>
      <c r="AZ10" s="17">
        <v>4.4759121366836077</v>
      </c>
      <c r="BA10" s="4">
        <f t="shared" si="9"/>
        <v>0.34430093359104674</v>
      </c>
      <c r="BB10" s="3">
        <v>115950.98592417133</v>
      </c>
      <c r="BC10" s="17">
        <f t="shared" si="10"/>
        <v>2</v>
      </c>
      <c r="BD10" s="17"/>
      <c r="BE10" s="17"/>
      <c r="BF10" s="3"/>
      <c r="BG10" s="7">
        <v>2.1666666666666665</v>
      </c>
      <c r="BH10" s="30"/>
      <c r="BI10" s="30"/>
      <c r="BJ10" s="30"/>
      <c r="BL10" s="17">
        <f t="shared" si="1"/>
        <v>48</v>
      </c>
      <c r="BM10" s="17">
        <f t="shared" si="2"/>
        <v>48.230519100000002</v>
      </c>
      <c r="BN10" s="17">
        <f t="shared" si="3"/>
        <v>14.689854099030612</v>
      </c>
      <c r="BO10" s="4">
        <f t="shared" si="11"/>
        <v>0.30457590698066134</v>
      </c>
      <c r="BP10" s="3">
        <f t="shared" si="4"/>
        <v>113315.73624407653</v>
      </c>
      <c r="BQ10" s="7">
        <f t="shared" si="5"/>
        <v>2</v>
      </c>
      <c r="BR10" s="3"/>
      <c r="BS10" s="3"/>
      <c r="BT10" s="7"/>
      <c r="BU10" s="7">
        <f t="shared" si="12"/>
        <v>1.990447408333333</v>
      </c>
      <c r="BV10" s="30"/>
      <c r="BW10" s="30"/>
      <c r="BX10" s="30"/>
      <c r="BZ10" s="5" t="s">
        <v>90</v>
      </c>
      <c r="CA10" s="5" t="s">
        <v>90</v>
      </c>
      <c r="CB10" s="5" t="s">
        <v>90</v>
      </c>
      <c r="CD10" s="21"/>
      <c r="CH10">
        <f>31266/100000</f>
        <v>0.31265999999999999</v>
      </c>
      <c r="CJ10" s="5" t="s">
        <v>91</v>
      </c>
      <c r="CL10" t="s">
        <v>91</v>
      </c>
      <c r="CN10" s="5" t="s">
        <v>105</v>
      </c>
      <c r="CP10" t="s">
        <v>91</v>
      </c>
    </row>
    <row r="11" spans="1:94" x14ac:dyDescent="0.35">
      <c r="A11" s="3" t="s">
        <v>9</v>
      </c>
      <c r="B11" s="3" t="s">
        <v>160</v>
      </c>
      <c r="C11" s="3" t="s">
        <v>142</v>
      </c>
      <c r="D11" s="3" t="s">
        <v>83</v>
      </c>
      <c r="E11" s="25" t="s">
        <v>107</v>
      </c>
      <c r="F11" s="3" t="s">
        <v>2</v>
      </c>
      <c r="G11" s="5"/>
      <c r="H11" s="14">
        <v>51.5</v>
      </c>
      <c r="I11" s="7">
        <v>32.849999999999994</v>
      </c>
      <c r="J11" s="3">
        <v>1.5783377793579629</v>
      </c>
      <c r="K11" s="4">
        <f t="shared" si="0"/>
        <v>4.8046812157015624E-2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1">
        <v>39</v>
      </c>
      <c r="S11" s="31">
        <v>51</v>
      </c>
      <c r="T11" s="31">
        <f t="shared" si="6"/>
        <v>90</v>
      </c>
      <c r="U11" s="15"/>
      <c r="V11" s="7">
        <v>47.199999999999996</v>
      </c>
      <c r="W11" s="7">
        <v>40.6</v>
      </c>
      <c r="X11" s="3">
        <v>8.6905081391468855</v>
      </c>
      <c r="Y11" s="4">
        <f t="shared" si="7"/>
        <v>0.21405192460952918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30"/>
      <c r="AG11" s="30"/>
      <c r="AH11" s="30"/>
      <c r="AJ11" s="3">
        <v>49.800000000000004</v>
      </c>
      <c r="AK11" s="3">
        <v>49.800000000000004</v>
      </c>
      <c r="AL11" s="3">
        <v>17.890508139146888</v>
      </c>
      <c r="AM11" s="4">
        <f t="shared" si="8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30"/>
      <c r="AU11" s="30"/>
      <c r="AV11" s="30"/>
      <c r="AX11" s="17">
        <v>46.6</v>
      </c>
      <c r="AY11" s="17">
        <v>46.6</v>
      </c>
      <c r="AZ11" s="17">
        <v>14.690508139146885</v>
      </c>
      <c r="BA11" s="4">
        <f t="shared" si="9"/>
        <v>0.31524695577568423</v>
      </c>
      <c r="BB11" s="3">
        <v>101782.68220545011</v>
      </c>
      <c r="BC11" s="17">
        <f t="shared" si="10"/>
        <v>8.6666666666666661</v>
      </c>
      <c r="BD11" s="17"/>
      <c r="BE11" s="17"/>
      <c r="BF11" s="3"/>
      <c r="BG11" s="7">
        <v>2.0711111111111111</v>
      </c>
      <c r="BH11" s="30"/>
      <c r="BI11" s="30"/>
      <c r="BJ11" s="30"/>
      <c r="BL11" s="17">
        <f t="shared" si="1"/>
        <v>195.1</v>
      </c>
      <c r="BM11" s="17">
        <f t="shared" si="2"/>
        <v>169.85</v>
      </c>
      <c r="BN11" s="17">
        <f t="shared" si="3"/>
        <v>42.849862196798625</v>
      </c>
      <c r="BO11" s="4">
        <f t="shared" si="11"/>
        <v>0.25228061346363628</v>
      </c>
      <c r="BP11" s="3">
        <f t="shared" si="4"/>
        <v>99469.439428053534</v>
      </c>
      <c r="BQ11" s="7">
        <f t="shared" si="5"/>
        <v>8.6666666666666661</v>
      </c>
      <c r="BR11" s="3"/>
      <c r="BS11" s="3"/>
      <c r="BT11" s="7"/>
      <c r="BU11" s="7">
        <f t="shared" si="12"/>
        <v>2.0482222222222224</v>
      </c>
      <c r="BV11" s="30"/>
      <c r="BW11" s="30"/>
      <c r="BX11" s="30"/>
      <c r="BZ11" s="5" t="s">
        <v>90</v>
      </c>
      <c r="CA11" s="5" t="s">
        <v>90</v>
      </c>
      <c r="CB11" s="5" t="s">
        <v>90</v>
      </c>
      <c r="CD11" s="21"/>
      <c r="CF11">
        <f>5.235+9.24</f>
        <v>14.475000000000001</v>
      </c>
      <c r="CJ11" s="5" t="s">
        <v>91</v>
      </c>
      <c r="CL11" t="s">
        <v>90</v>
      </c>
      <c r="CN11" s="5" t="s">
        <v>97</v>
      </c>
      <c r="CP11" t="s">
        <v>91</v>
      </c>
    </row>
    <row r="12" spans="1:94" x14ac:dyDescent="0.35">
      <c r="A12" s="3" t="s">
        <v>40</v>
      </c>
      <c r="B12" s="3" t="s">
        <v>160</v>
      </c>
      <c r="C12" s="3" t="s">
        <v>145</v>
      </c>
      <c r="D12" s="3" t="s">
        <v>162</v>
      </c>
      <c r="E12" s="2" t="s">
        <v>107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246.70418764301891</v>
      </c>
      <c r="K12" s="4">
        <f t="shared" si="0"/>
        <v>0.52050681363505302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1">
        <v>423</v>
      </c>
      <c r="S12" s="31">
        <v>139</v>
      </c>
      <c r="T12" s="31">
        <f t="shared" si="6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7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30"/>
      <c r="AG12" s="30"/>
      <c r="AH12" s="30"/>
      <c r="AJ12" s="3">
        <v>329.57126269999998</v>
      </c>
      <c r="AK12" s="3">
        <v>329.57126269999998</v>
      </c>
      <c r="AL12" s="3">
        <v>88.643550490624762</v>
      </c>
      <c r="AM12" s="4">
        <f t="shared" si="8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30"/>
      <c r="AU12" s="30"/>
      <c r="AV12" s="30"/>
      <c r="AX12" s="17">
        <v>392.0047667</v>
      </c>
      <c r="AY12" s="17">
        <v>392.0047667</v>
      </c>
      <c r="AZ12" s="17">
        <v>151.07705449062479</v>
      </c>
      <c r="BA12" s="4">
        <f t="shared" si="9"/>
        <v>0.38539596281553273</v>
      </c>
      <c r="BB12" s="3">
        <v>153132.05216797406</v>
      </c>
      <c r="BC12" s="17">
        <f t="shared" si="10"/>
        <v>56.4</v>
      </c>
      <c r="BD12" s="17"/>
      <c r="BE12" s="17"/>
      <c r="BF12" s="3"/>
      <c r="BG12" s="7">
        <v>3.5897872408424911</v>
      </c>
      <c r="BH12" s="30"/>
      <c r="BI12" s="30"/>
      <c r="BJ12" s="30"/>
      <c r="BL12" s="17">
        <f t="shared" si="1"/>
        <v>1443.1520866999999</v>
      </c>
      <c r="BM12" s="17">
        <f t="shared" si="2"/>
        <v>1585.5452094000002</v>
      </c>
      <c r="BN12" s="17">
        <f t="shared" si="3"/>
        <v>635.49708041489328</v>
      </c>
      <c r="BO12" s="4">
        <f t="shared" si="11"/>
        <v>0.40080666047698332</v>
      </c>
      <c r="BP12" s="3">
        <f t="shared" si="4"/>
        <v>149651.77825506555</v>
      </c>
      <c r="BQ12" s="7">
        <f t="shared" si="5"/>
        <v>56.4</v>
      </c>
      <c r="BR12" s="3"/>
      <c r="BS12" s="3"/>
      <c r="BT12" s="7"/>
      <c r="BU12" s="7">
        <f t="shared" si="12"/>
        <v>3.5046884402472527</v>
      </c>
      <c r="BV12" s="30"/>
      <c r="BW12" s="30"/>
      <c r="BX12" s="30"/>
      <c r="BZ12" s="5" t="s">
        <v>90</v>
      </c>
      <c r="CA12" s="5" t="s">
        <v>90</v>
      </c>
      <c r="CB12" s="5" t="s">
        <v>90</v>
      </c>
      <c r="CD12" s="21"/>
      <c r="CJ12" s="5" t="s">
        <v>91</v>
      </c>
      <c r="CL12" t="s">
        <v>91</v>
      </c>
      <c r="CN12" s="5" t="s">
        <v>96</v>
      </c>
      <c r="CP12" t="s">
        <v>90</v>
      </c>
    </row>
    <row r="13" spans="1:94" x14ac:dyDescent="0.35">
      <c r="A13" s="3" t="s">
        <v>41</v>
      </c>
      <c r="B13" s="3" t="s">
        <v>161</v>
      </c>
      <c r="C13" s="3" t="s">
        <v>148</v>
      </c>
      <c r="D13" s="3" t="s">
        <v>150</v>
      </c>
      <c r="E13" s="2" t="s">
        <v>107</v>
      </c>
      <c r="F13" s="3" t="s">
        <v>70</v>
      </c>
      <c r="G13" s="5"/>
      <c r="H13" s="14">
        <v>27</v>
      </c>
      <c r="I13" s="7">
        <v>8.43797</v>
      </c>
      <c r="J13" s="3">
        <v>-7.7101893786085389</v>
      </c>
      <c r="K13" s="4">
        <f t="shared" si="0"/>
        <v>-0.91374932342832915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1">
        <v>5</v>
      </c>
      <c r="S13" s="31">
        <v>2</v>
      </c>
      <c r="T13" s="31">
        <f t="shared" si="6"/>
        <v>7</v>
      </c>
      <c r="U13" s="15"/>
      <c r="V13" s="7">
        <v>27</v>
      </c>
      <c r="W13" s="7">
        <v>8</v>
      </c>
      <c r="X13" s="3">
        <v>-6.7076312492347991</v>
      </c>
      <c r="Y13" s="4">
        <f t="shared" si="7"/>
        <v>-0.83845390615434989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30"/>
      <c r="AG13" s="30"/>
      <c r="AH13" s="30"/>
      <c r="AJ13" s="3">
        <v>20</v>
      </c>
      <c r="AK13" s="3">
        <v>9</v>
      </c>
      <c r="AL13" s="3">
        <v>-5.7076312492347991</v>
      </c>
      <c r="AM13" s="4">
        <f t="shared" si="8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30"/>
      <c r="AU13" s="30"/>
      <c r="AV13" s="30"/>
      <c r="AX13" s="17">
        <v>23</v>
      </c>
      <c r="AY13" s="17">
        <v>9</v>
      </c>
      <c r="AZ13" s="17">
        <v>-5.7076312492347991</v>
      </c>
      <c r="BA13" s="4">
        <f t="shared" si="9"/>
        <v>-0.63418124991497771</v>
      </c>
      <c r="BB13" s="3">
        <v>140662.332309839</v>
      </c>
      <c r="BC13" s="17">
        <f t="shared" si="10"/>
        <v>2.4</v>
      </c>
      <c r="BD13" s="17"/>
      <c r="BE13" s="17"/>
      <c r="BF13" s="3"/>
      <c r="BG13" s="7">
        <v>7.666666666666667</v>
      </c>
      <c r="BH13" s="30"/>
      <c r="BI13" s="30"/>
      <c r="BJ13" s="30"/>
      <c r="BL13" s="17">
        <f t="shared" si="1"/>
        <v>97</v>
      </c>
      <c r="BM13" s="17">
        <f t="shared" si="2"/>
        <v>34.43797</v>
      </c>
      <c r="BN13" s="17">
        <f t="shared" si="3"/>
        <v>-25.833083126312935</v>
      </c>
      <c r="BO13" s="4">
        <f t="shared" si="11"/>
        <v>-0.75013373686988327</v>
      </c>
      <c r="BP13" s="3">
        <f t="shared" si="4"/>
        <v>137465.46112097902</v>
      </c>
      <c r="BQ13" s="7">
        <f t="shared" si="5"/>
        <v>2.4</v>
      </c>
      <c r="BR13" s="3"/>
      <c r="BS13" s="3"/>
      <c r="BT13" s="7"/>
      <c r="BU13" s="7">
        <f t="shared" si="12"/>
        <v>7.0654166666666676</v>
      </c>
      <c r="BV13" s="30"/>
      <c r="BW13" s="30"/>
      <c r="BX13" s="30"/>
      <c r="BZ13" s="5" t="s">
        <v>90</v>
      </c>
      <c r="CA13" s="5" t="s">
        <v>90</v>
      </c>
      <c r="CB13" s="5" t="s">
        <v>90</v>
      </c>
      <c r="CD13" s="21"/>
      <c r="CJ13" s="5" t="s">
        <v>91</v>
      </c>
      <c r="CL13" t="s">
        <v>91</v>
      </c>
      <c r="CN13" s="5" t="s">
        <v>104</v>
      </c>
      <c r="CP13" t="s">
        <v>91</v>
      </c>
    </row>
    <row r="14" spans="1:94" x14ac:dyDescent="0.35">
      <c r="A14" s="3" t="s">
        <v>13</v>
      </c>
      <c r="B14" s="3" t="s">
        <v>160</v>
      </c>
      <c r="C14" s="3" t="s">
        <v>142</v>
      </c>
      <c r="D14" s="3" t="s">
        <v>83</v>
      </c>
      <c r="E14" s="25" t="s">
        <v>107</v>
      </c>
      <c r="F14" s="3" t="s">
        <v>2</v>
      </c>
      <c r="G14" s="5"/>
      <c r="H14" s="14">
        <v>0</v>
      </c>
      <c r="I14" s="7">
        <v>0.9</v>
      </c>
      <c r="J14" s="3">
        <v>-11.146824928476576</v>
      </c>
      <c r="K14" s="4">
        <f t="shared" si="0"/>
        <v>-12.38536103164064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1">
        <v>5</v>
      </c>
      <c r="S14" s="31">
        <v>0</v>
      </c>
      <c r="T14" s="31">
        <f t="shared" si="6"/>
        <v>5</v>
      </c>
      <c r="U14" s="15"/>
      <c r="V14" s="7">
        <v>0</v>
      </c>
      <c r="W14" s="7">
        <v>0</v>
      </c>
      <c r="X14" s="3">
        <v>0</v>
      </c>
      <c r="Y14" s="4">
        <f t="shared" si="7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30"/>
      <c r="AG14" s="30"/>
      <c r="AH14" s="30"/>
      <c r="AJ14" s="3">
        <v>0</v>
      </c>
      <c r="AK14" s="3">
        <v>0</v>
      </c>
      <c r="AL14" s="3">
        <v>0</v>
      </c>
      <c r="AM14" s="4">
        <f t="shared" si="8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30"/>
      <c r="AU14" s="30"/>
      <c r="AV14" s="30"/>
      <c r="AX14" s="17">
        <v>0</v>
      </c>
      <c r="AY14" s="17">
        <v>0</v>
      </c>
      <c r="AZ14" s="17">
        <v>0</v>
      </c>
      <c r="BA14" s="4">
        <f t="shared" si="9"/>
        <v>0</v>
      </c>
      <c r="BB14" s="3">
        <v>0</v>
      </c>
      <c r="BC14" s="17">
        <f t="shared" si="10"/>
        <v>0</v>
      </c>
      <c r="BD14" s="17"/>
      <c r="BE14" s="17"/>
      <c r="BF14" s="3"/>
      <c r="BG14" s="7">
        <v>0</v>
      </c>
      <c r="BH14" s="30"/>
      <c r="BI14" s="30"/>
      <c r="BJ14" s="30"/>
      <c r="BL14" s="17">
        <f t="shared" si="1"/>
        <v>0</v>
      </c>
      <c r="BM14" s="17">
        <f t="shared" si="2"/>
        <v>0.9</v>
      </c>
      <c r="BN14" s="17">
        <f t="shared" si="3"/>
        <v>-11.146824928476576</v>
      </c>
      <c r="BO14" s="4">
        <f t="shared" si="11"/>
        <v>-12.38536103164064</v>
      </c>
      <c r="BP14" s="3">
        <f t="shared" si="4"/>
        <v>22500</v>
      </c>
      <c r="BQ14" s="7">
        <f t="shared" si="5"/>
        <v>0.33749999999999997</v>
      </c>
      <c r="BR14" s="3"/>
      <c r="BS14" s="3"/>
      <c r="BT14" s="7"/>
      <c r="BU14" s="7">
        <f t="shared" si="12"/>
        <v>2.5000000000000001E-2</v>
      </c>
      <c r="BV14" s="30"/>
      <c r="BW14" s="30"/>
      <c r="BX14" s="30"/>
      <c r="BZ14" s="5" t="s">
        <v>90</v>
      </c>
      <c r="CA14" s="5" t="s">
        <v>90</v>
      </c>
      <c r="CB14" s="5" t="s">
        <v>90</v>
      </c>
      <c r="CD14" s="21"/>
      <c r="CJ14" s="5" t="s">
        <v>91</v>
      </c>
      <c r="CL14" t="s">
        <v>90</v>
      </c>
      <c r="CN14" s="5" t="s">
        <v>105</v>
      </c>
      <c r="CP14" t="s">
        <v>91</v>
      </c>
    </row>
    <row r="15" spans="1:94" x14ac:dyDescent="0.35">
      <c r="A15" s="3" t="s">
        <v>23</v>
      </c>
      <c r="B15" s="3" t="s">
        <v>160</v>
      </c>
      <c r="C15" s="3" t="s">
        <v>142</v>
      </c>
      <c r="D15" s="3" t="s">
        <v>83</v>
      </c>
      <c r="E15" s="26" t="s">
        <v>107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 t="shared" si="0"/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1">
        <v>0</v>
      </c>
      <c r="S15" s="31">
        <v>0</v>
      </c>
      <c r="T15" s="31">
        <f t="shared" si="6"/>
        <v>0</v>
      </c>
      <c r="U15" s="15"/>
      <c r="V15" s="7">
        <v>0</v>
      </c>
      <c r="W15" s="7">
        <v>0</v>
      </c>
      <c r="X15" s="3">
        <v>0</v>
      </c>
      <c r="Y15" s="4">
        <f t="shared" si="7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30"/>
      <c r="AG15" s="30"/>
      <c r="AH15" s="30"/>
      <c r="AJ15" s="3">
        <v>0</v>
      </c>
      <c r="AK15" s="3">
        <v>0</v>
      </c>
      <c r="AL15" s="3">
        <v>0</v>
      </c>
      <c r="AM15" s="4">
        <f t="shared" si="8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30"/>
      <c r="AU15" s="30"/>
      <c r="AV15" s="30"/>
      <c r="AX15" s="17">
        <v>0</v>
      </c>
      <c r="AY15" s="17">
        <v>0</v>
      </c>
      <c r="AZ15" s="17">
        <v>0</v>
      </c>
      <c r="BA15" s="4">
        <f t="shared" si="9"/>
        <v>0</v>
      </c>
      <c r="BB15" s="3">
        <v>0</v>
      </c>
      <c r="BC15" s="17">
        <f t="shared" si="10"/>
        <v>0</v>
      </c>
      <c r="BD15" s="17"/>
      <c r="BE15" s="17"/>
      <c r="BF15" s="3"/>
      <c r="BG15" s="7">
        <v>0</v>
      </c>
      <c r="BH15" s="30"/>
      <c r="BI15" s="30"/>
      <c r="BJ15" s="30"/>
      <c r="BL15" s="17">
        <f t="shared" si="1"/>
        <v>0</v>
      </c>
      <c r="BM15" s="17">
        <f t="shared" si="2"/>
        <v>0</v>
      </c>
      <c r="BN15" s="17">
        <f t="shared" si="3"/>
        <v>0</v>
      </c>
      <c r="BO15" s="4">
        <f t="shared" si="11"/>
        <v>0</v>
      </c>
      <c r="BP15" s="3">
        <f t="shared" si="4"/>
        <v>0</v>
      </c>
      <c r="BQ15" s="7">
        <f t="shared" si="5"/>
        <v>0</v>
      </c>
      <c r="BR15" s="3"/>
      <c r="BS15" s="3"/>
      <c r="BT15" s="7"/>
      <c r="BU15" s="7">
        <f t="shared" si="12"/>
        <v>0</v>
      </c>
      <c r="BV15" s="30"/>
      <c r="BW15" s="30"/>
      <c r="BX15" s="30"/>
      <c r="BZ15" s="5" t="s">
        <v>90</v>
      </c>
      <c r="CA15" s="5" t="s">
        <v>90</v>
      </c>
      <c r="CB15" s="5" t="s">
        <v>90</v>
      </c>
      <c r="CD15" s="21"/>
      <c r="CJ15" s="5" t="s">
        <v>91</v>
      </c>
      <c r="CL15" t="s">
        <v>91</v>
      </c>
      <c r="CN15" s="5" t="s">
        <v>157</v>
      </c>
      <c r="CP15" t="s">
        <v>91</v>
      </c>
    </row>
    <row r="16" spans="1:94" x14ac:dyDescent="0.35">
      <c r="A16" s="3" t="s">
        <v>42</v>
      </c>
      <c r="B16" s="3" t="s">
        <v>160</v>
      </c>
      <c r="C16" s="3" t="s">
        <v>146</v>
      </c>
      <c r="D16" s="3" t="s">
        <v>150</v>
      </c>
      <c r="E16" s="2" t="s">
        <v>107</v>
      </c>
      <c r="F16" s="3" t="s">
        <v>70</v>
      </c>
      <c r="G16" s="5"/>
      <c r="H16" s="14">
        <v>12</v>
      </c>
      <c r="I16" s="7">
        <v>12.639860000000001</v>
      </c>
      <c r="J16" s="3">
        <v>2.1909621002134534</v>
      </c>
      <c r="K16" s="4">
        <f t="shared" si="0"/>
        <v>0.17333752907179772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1">
        <v>28</v>
      </c>
      <c r="S16" s="31">
        <v>0</v>
      </c>
      <c r="T16" s="31">
        <f t="shared" si="6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7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30"/>
      <c r="AG16" s="30"/>
      <c r="AH16" s="30"/>
      <c r="AJ16" s="3">
        <v>11</v>
      </c>
      <c r="AK16" s="3">
        <v>11</v>
      </c>
      <c r="AL16" s="3">
        <v>0.69602698997583445</v>
      </c>
      <c r="AM16" s="4">
        <f t="shared" si="8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30"/>
      <c r="AU16" s="30"/>
      <c r="AV16" s="30"/>
      <c r="AX16" s="17">
        <v>12</v>
      </c>
      <c r="AY16" s="17">
        <v>12</v>
      </c>
      <c r="AZ16" s="17">
        <v>1.6960269899758345</v>
      </c>
      <c r="BA16" s="4">
        <f t="shared" si="9"/>
        <v>0.1413355824979862</v>
      </c>
      <c r="BB16" s="3">
        <v>92943.024180384149</v>
      </c>
      <c r="BC16" s="17">
        <f t="shared" si="10"/>
        <v>3.6666666666666665</v>
      </c>
      <c r="BD16" s="17"/>
      <c r="BE16" s="17"/>
      <c r="BF16" s="3"/>
      <c r="BG16" s="7">
        <v>2</v>
      </c>
      <c r="BH16" s="30"/>
      <c r="BI16" s="30"/>
      <c r="BJ16" s="30"/>
      <c r="BL16" s="17">
        <f t="shared" si="1"/>
        <v>48</v>
      </c>
      <c r="BM16" s="17">
        <f t="shared" si="2"/>
        <v>39.639859999999999</v>
      </c>
      <c r="BN16" s="17">
        <f t="shared" si="3"/>
        <v>-1.7209569298590432</v>
      </c>
      <c r="BO16" s="4">
        <f t="shared" si="11"/>
        <v>-4.3414808474576939E-2</v>
      </c>
      <c r="BP16" s="3">
        <f t="shared" si="4"/>
        <v>90830.682721739053</v>
      </c>
      <c r="BQ16" s="7">
        <f t="shared" si="5"/>
        <v>3.6666666666666665</v>
      </c>
      <c r="BR16" s="3"/>
      <c r="BS16" s="3"/>
      <c r="BT16" s="7"/>
      <c r="BU16" s="7">
        <f t="shared" si="12"/>
        <v>2.0663204166666667</v>
      </c>
      <c r="BV16" s="30"/>
      <c r="BW16" s="30"/>
      <c r="BX16" s="30"/>
      <c r="BZ16" s="5" t="s">
        <v>90</v>
      </c>
      <c r="CA16" s="5" t="s">
        <v>90</v>
      </c>
      <c r="CB16" s="5" t="s">
        <v>90</v>
      </c>
      <c r="CD16" s="21"/>
      <c r="CJ16" s="5" t="s">
        <v>91</v>
      </c>
      <c r="CL16" t="s">
        <v>91</v>
      </c>
      <c r="CN16" s="5" t="s">
        <v>96</v>
      </c>
      <c r="CP16" t="s">
        <v>91</v>
      </c>
    </row>
    <row r="17" spans="1:94" x14ac:dyDescent="0.35">
      <c r="A17" s="3" t="s">
        <v>10</v>
      </c>
      <c r="B17" s="3" t="s">
        <v>160</v>
      </c>
      <c r="C17" s="3" t="s">
        <v>148</v>
      </c>
      <c r="D17" s="3" t="s">
        <v>153</v>
      </c>
      <c r="E17" s="25" t="s">
        <v>107</v>
      </c>
      <c r="F17" s="3" t="s">
        <v>2</v>
      </c>
      <c r="G17" s="5"/>
      <c r="H17" s="14">
        <v>305</v>
      </c>
      <c r="I17" s="7">
        <v>343.12753229999998</v>
      </c>
      <c r="J17" s="3">
        <v>104.85500221458678</v>
      </c>
      <c r="K17" s="4">
        <f t="shared" si="0"/>
        <v>0.30558609363620215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1">
        <v>258</v>
      </c>
      <c r="S17" s="31">
        <v>226</v>
      </c>
      <c r="T17" s="31">
        <f t="shared" si="6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7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30"/>
      <c r="AG17" s="30"/>
      <c r="AH17" s="30"/>
      <c r="AJ17" s="3">
        <v>360</v>
      </c>
      <c r="AK17" s="3">
        <v>485</v>
      </c>
      <c r="AL17" s="3">
        <v>217.26874900304904</v>
      </c>
      <c r="AM17" s="4">
        <f t="shared" si="8"/>
        <v>0.44797680206814233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30"/>
      <c r="AU17" s="30"/>
      <c r="AV17" s="30"/>
      <c r="AX17" s="17">
        <v>390</v>
      </c>
      <c r="AY17" s="17">
        <v>420</v>
      </c>
      <c r="AZ17" s="17">
        <v>152</v>
      </c>
      <c r="BA17" s="4">
        <f t="shared" si="9"/>
        <v>0.3619047619047619</v>
      </c>
      <c r="BB17" s="3">
        <v>103278.92877848257</v>
      </c>
      <c r="BC17" s="17">
        <f t="shared" si="10"/>
        <v>80.666666666666671</v>
      </c>
      <c r="BD17" s="17"/>
      <c r="BE17" s="17"/>
      <c r="BF17" s="3"/>
      <c r="BG17" s="7">
        <v>1.9696969696969697</v>
      </c>
      <c r="BH17" s="30"/>
      <c r="BI17" s="30"/>
      <c r="BJ17" s="30"/>
      <c r="BL17" s="17">
        <f t="shared" si="1"/>
        <v>1385</v>
      </c>
      <c r="BM17" s="17">
        <f t="shared" si="2"/>
        <v>1738.1275323</v>
      </c>
      <c r="BN17" s="17">
        <f t="shared" si="3"/>
        <v>696.39250022068484</v>
      </c>
      <c r="BO17" s="4">
        <f t="shared" si="11"/>
        <v>0.40065673391593676</v>
      </c>
      <c r="BP17" s="3">
        <f t="shared" si="4"/>
        <v>100931.68039715342</v>
      </c>
      <c r="BQ17" s="7">
        <f t="shared" si="5"/>
        <v>80.666666666666671</v>
      </c>
      <c r="BR17" s="3"/>
      <c r="BS17" s="3"/>
      <c r="BT17" s="7"/>
      <c r="BU17" s="7">
        <f t="shared" si="12"/>
        <v>1.8239997251262627</v>
      </c>
      <c r="BV17" s="30"/>
      <c r="BW17" s="30"/>
      <c r="BX17" s="30"/>
      <c r="BZ17" s="5" t="s">
        <v>90</v>
      </c>
      <c r="CA17" s="5" t="s">
        <v>90</v>
      </c>
      <c r="CB17" s="5" t="s">
        <v>90</v>
      </c>
      <c r="CD17" s="21"/>
      <c r="CH17">
        <f>17110481/100000</f>
        <v>171.10480999999999</v>
      </c>
      <c r="CJ17" s="5" t="s">
        <v>91</v>
      </c>
      <c r="CL17" t="s">
        <v>91</v>
      </c>
      <c r="CN17" s="5" t="s">
        <v>97</v>
      </c>
      <c r="CP17" t="s">
        <v>90</v>
      </c>
    </row>
    <row r="18" spans="1:94" x14ac:dyDescent="0.35">
      <c r="A18" s="3" t="s">
        <v>20</v>
      </c>
      <c r="B18" s="3" t="s">
        <v>160</v>
      </c>
      <c r="C18" s="3" t="s">
        <v>148</v>
      </c>
      <c r="D18" s="3" t="s">
        <v>153</v>
      </c>
      <c r="E18" s="26" t="s">
        <v>107</v>
      </c>
      <c r="F18" s="3" t="s">
        <v>2</v>
      </c>
      <c r="G18" s="5"/>
      <c r="H18" s="14">
        <v>70</v>
      </c>
      <c r="I18" s="7">
        <v>69.805023500000004</v>
      </c>
      <c r="J18" s="3">
        <v>31.813439015046185</v>
      </c>
      <c r="K18" s="4">
        <f t="shared" si="0"/>
        <v>0.45574712850066135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1">
        <v>4</v>
      </c>
      <c r="S18" s="31">
        <v>13</v>
      </c>
      <c r="T18" s="31">
        <f t="shared" si="6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7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30"/>
      <c r="AG18" s="30"/>
      <c r="AH18" s="30"/>
      <c r="AJ18" s="3">
        <v>40</v>
      </c>
      <c r="AK18" s="3">
        <v>40</v>
      </c>
      <c r="AL18" s="3">
        <v>0.79573271821291769</v>
      </c>
      <c r="AM18" s="4">
        <f t="shared" si="8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30"/>
      <c r="AU18" s="30"/>
      <c r="AV18" s="30"/>
      <c r="AX18" s="17">
        <v>70</v>
      </c>
      <c r="AY18" s="17">
        <v>70</v>
      </c>
      <c r="AZ18" s="17">
        <v>30.795732718212918</v>
      </c>
      <c r="BA18" s="4">
        <f t="shared" si="9"/>
        <v>0.43993903883161312</v>
      </c>
      <c r="BB18" s="3">
        <v>143707.14782451236</v>
      </c>
      <c r="BC18" s="17">
        <f t="shared" si="10"/>
        <v>10</v>
      </c>
      <c r="BD18" s="17"/>
      <c r="BE18" s="17"/>
      <c r="BF18" s="3"/>
      <c r="BG18" s="7">
        <v>7.7777777777777777</v>
      </c>
      <c r="BH18" s="30"/>
      <c r="BI18" s="30"/>
      <c r="BJ18" s="30"/>
      <c r="BL18" s="17">
        <f t="shared" si="1"/>
        <v>250</v>
      </c>
      <c r="BM18" s="17">
        <f t="shared" si="2"/>
        <v>249.8050235</v>
      </c>
      <c r="BN18" s="17">
        <f t="shared" si="3"/>
        <v>94.200637169684938</v>
      </c>
      <c r="BO18" s="4">
        <f t="shared" si="11"/>
        <v>0.37709664861757647</v>
      </c>
      <c r="BP18" s="3">
        <f t="shared" si="4"/>
        <v>140441.07628304616</v>
      </c>
      <c r="BQ18" s="7">
        <f t="shared" si="5"/>
        <v>10</v>
      </c>
      <c r="BR18" s="3"/>
      <c r="BS18" s="3"/>
      <c r="BT18" s="7"/>
      <c r="BU18" s="7">
        <f t="shared" si="12"/>
        <v>7.1164189861111105</v>
      </c>
      <c r="BV18" s="30"/>
      <c r="BW18" s="30"/>
      <c r="BX18" s="30"/>
      <c r="BZ18" s="5" t="s">
        <v>90</v>
      </c>
      <c r="CA18" s="5" t="s">
        <v>90</v>
      </c>
      <c r="CB18" s="5" t="s">
        <v>90</v>
      </c>
      <c r="CD18" s="21"/>
      <c r="CJ18" s="5" t="s">
        <v>91</v>
      </c>
      <c r="CL18" t="s">
        <v>91</v>
      </c>
      <c r="CN18" s="5" t="s">
        <v>157</v>
      </c>
      <c r="CP18" t="s">
        <v>91</v>
      </c>
    </row>
    <row r="19" spans="1:94" x14ac:dyDescent="0.35">
      <c r="A19" s="3" t="s">
        <v>43</v>
      </c>
      <c r="B19" s="3" t="s">
        <v>161</v>
      </c>
      <c r="C19" s="3" t="s">
        <v>148</v>
      </c>
      <c r="D19" s="3" t="s">
        <v>163</v>
      </c>
      <c r="E19" s="2" t="s">
        <v>107</v>
      </c>
      <c r="F19" s="3" t="s">
        <v>72</v>
      </c>
      <c r="G19" s="5"/>
      <c r="H19" s="14">
        <v>150</v>
      </c>
      <c r="I19" s="7">
        <v>96.987499999999997</v>
      </c>
      <c r="J19" s="3">
        <v>27.996540471704119</v>
      </c>
      <c r="K19" s="4">
        <f t="shared" si="0"/>
        <v>0.2886613271989083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1">
        <v>113</v>
      </c>
      <c r="S19" s="31">
        <v>0</v>
      </c>
      <c r="T19" s="31">
        <f t="shared" si="6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7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30"/>
      <c r="AG19" s="30"/>
      <c r="AH19" s="30"/>
      <c r="AJ19" s="3">
        <v>100</v>
      </c>
      <c r="AK19" s="3">
        <v>75</v>
      </c>
      <c r="AL19" s="3">
        <v>11.835032863384278</v>
      </c>
      <c r="AM19" s="4">
        <f t="shared" si="8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30"/>
      <c r="AU19" s="30"/>
      <c r="AV19" s="30"/>
      <c r="AX19" s="17">
        <v>150</v>
      </c>
      <c r="AY19" s="17">
        <v>90</v>
      </c>
      <c r="AZ19" s="17">
        <v>26.835032863384278</v>
      </c>
      <c r="BA19" s="4">
        <f t="shared" si="9"/>
        <v>0.29816703181538085</v>
      </c>
      <c r="BB19" s="3">
        <v>108707.02698008134</v>
      </c>
      <c r="BC19" s="17">
        <f t="shared" si="10"/>
        <v>12.199999999999998</v>
      </c>
      <c r="BD19" s="17"/>
      <c r="BE19" s="17"/>
      <c r="BF19" s="3"/>
      <c r="BG19" s="7">
        <v>5</v>
      </c>
      <c r="BH19" s="30"/>
      <c r="BI19" s="30"/>
      <c r="BJ19" s="30"/>
      <c r="BL19" s="17">
        <f t="shared" si="1"/>
        <v>550</v>
      </c>
      <c r="BM19" s="17">
        <f t="shared" si="2"/>
        <v>336.98750000000001</v>
      </c>
      <c r="BN19" s="17">
        <f t="shared" si="3"/>
        <v>78.501639061856949</v>
      </c>
      <c r="BO19" s="4">
        <f t="shared" si="11"/>
        <v>0.23295118976774196</v>
      </c>
      <c r="BP19" s="3">
        <f t="shared" si="4"/>
        <v>106236.41273053404</v>
      </c>
      <c r="BQ19" s="7">
        <f t="shared" si="5"/>
        <v>12.199999999999998</v>
      </c>
      <c r="BR19" s="3"/>
      <c r="BS19" s="3"/>
      <c r="BT19" s="7"/>
      <c r="BU19" s="7">
        <f t="shared" si="12"/>
        <v>4.0498958333333333</v>
      </c>
      <c r="BV19" s="30"/>
      <c r="BW19" s="30"/>
      <c r="BX19" s="30"/>
      <c r="BZ19" s="5" t="s">
        <v>90</v>
      </c>
      <c r="CA19" s="5" t="s">
        <v>90</v>
      </c>
      <c r="CB19" s="5" t="s">
        <v>90</v>
      </c>
      <c r="CD19" s="21"/>
      <c r="CF19">
        <v>0.63749999999999996</v>
      </c>
      <c r="CJ19" s="5" t="s">
        <v>91</v>
      </c>
      <c r="CL19" t="s">
        <v>91</v>
      </c>
      <c r="CN19" s="5" t="s">
        <v>96</v>
      </c>
      <c r="CP19" t="s">
        <v>90</v>
      </c>
    </row>
    <row r="20" spans="1:94" x14ac:dyDescent="0.35">
      <c r="A20" s="3" t="s">
        <v>11</v>
      </c>
      <c r="B20" s="3" t="s">
        <v>160</v>
      </c>
      <c r="C20" s="3" t="s">
        <v>142</v>
      </c>
      <c r="D20" s="3" t="s">
        <v>83</v>
      </c>
      <c r="E20" s="25" t="s">
        <v>107</v>
      </c>
      <c r="F20" s="3" t="s">
        <v>2</v>
      </c>
      <c r="G20" s="5"/>
      <c r="H20" s="14">
        <v>20.110000000000003</v>
      </c>
      <c r="I20" s="7">
        <v>30.900800000000004</v>
      </c>
      <c r="J20" s="3">
        <v>13.932448771744006</v>
      </c>
      <c r="K20" s="4">
        <f t="shared" si="0"/>
        <v>0.45087663658364846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1">
        <v>27</v>
      </c>
      <c r="S20" s="31">
        <v>24</v>
      </c>
      <c r="T20" s="31">
        <f t="shared" si="6"/>
        <v>51</v>
      </c>
      <c r="U20" s="15"/>
      <c r="V20" s="7">
        <v>24.865000000000002</v>
      </c>
      <c r="W20" s="7">
        <v>25.19</v>
      </c>
      <c r="X20" s="3">
        <v>7.9281948071674471</v>
      </c>
      <c r="Y20" s="4">
        <f t="shared" si="7"/>
        <v>0.3147358002051388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30"/>
      <c r="AG20" s="30"/>
      <c r="AH20" s="30"/>
      <c r="AJ20" s="3">
        <v>25.634999999999998</v>
      </c>
      <c r="AK20" s="3">
        <v>25.634999999999998</v>
      </c>
      <c r="AL20" s="3">
        <v>8.3731948071674438</v>
      </c>
      <c r="AM20" s="4">
        <f t="shared" si="8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30"/>
      <c r="AU20" s="30"/>
      <c r="AV20" s="30"/>
      <c r="AX20" s="17">
        <v>23.71</v>
      </c>
      <c r="AY20" s="17">
        <v>23.71</v>
      </c>
      <c r="AZ20" s="17">
        <v>6.4481948071674466</v>
      </c>
      <c r="BA20" s="4">
        <f t="shared" si="9"/>
        <v>0.2719609787923849</v>
      </c>
      <c r="BB20" s="3">
        <v>96413.491463351384</v>
      </c>
      <c r="BC20" s="17">
        <f t="shared" si="10"/>
        <v>4.333333333333333</v>
      </c>
      <c r="BD20" s="17"/>
      <c r="BE20" s="17"/>
      <c r="BF20" s="3"/>
      <c r="BG20" s="7">
        <v>2.2580952380952382</v>
      </c>
      <c r="BH20" s="30"/>
      <c r="BI20" s="30"/>
      <c r="BJ20" s="30"/>
      <c r="BL20" s="17">
        <f t="shared" si="1"/>
        <v>94.320000000000007</v>
      </c>
      <c r="BM20" s="17">
        <f t="shared" si="2"/>
        <v>105.4358</v>
      </c>
      <c r="BN20" s="17">
        <f t="shared" si="3"/>
        <v>36.68203319324634</v>
      </c>
      <c r="BO20" s="4">
        <f t="shared" si="11"/>
        <v>0.34790871026014258</v>
      </c>
      <c r="BP20" s="3">
        <f t="shared" si="4"/>
        <v>94222.27574827522</v>
      </c>
      <c r="BQ20" s="7">
        <f t="shared" si="5"/>
        <v>4.333333333333333</v>
      </c>
      <c r="BR20" s="3"/>
      <c r="BS20" s="3"/>
      <c r="BT20" s="7"/>
      <c r="BU20" s="7">
        <f t="shared" si="12"/>
        <v>2.3923999999999999</v>
      </c>
      <c r="BV20" s="30"/>
      <c r="BW20" s="30"/>
      <c r="BX20" s="30"/>
      <c r="BZ20" s="5" t="s">
        <v>90</v>
      </c>
      <c r="CA20" s="5" t="s">
        <v>90</v>
      </c>
      <c r="CB20" s="5" t="s">
        <v>90</v>
      </c>
      <c r="CD20" s="21"/>
      <c r="CF20">
        <v>17.080000000000002</v>
      </c>
      <c r="CH20">
        <f>3300161/100000</f>
        <v>33.001609999999999</v>
      </c>
      <c r="CJ20" s="5" t="s">
        <v>91</v>
      </c>
      <c r="CL20" t="s">
        <v>91</v>
      </c>
      <c r="CN20" s="5" t="s">
        <v>104</v>
      </c>
      <c r="CP20" t="s">
        <v>91</v>
      </c>
    </row>
    <row r="21" spans="1:94" x14ac:dyDescent="0.35">
      <c r="A21" s="36" t="s">
        <v>12</v>
      </c>
      <c r="B21" s="3" t="s">
        <v>160</v>
      </c>
      <c r="C21" s="3" t="s">
        <v>142</v>
      </c>
      <c r="D21" s="3" t="s">
        <v>149</v>
      </c>
      <c r="E21" s="25" t="s">
        <v>107</v>
      </c>
      <c r="F21" s="3" t="s">
        <v>2</v>
      </c>
      <c r="G21" s="5"/>
      <c r="H21" s="14">
        <v>90</v>
      </c>
      <c r="I21" s="7">
        <v>124.64298275000002</v>
      </c>
      <c r="J21" s="3">
        <v>7.8408047195120671</v>
      </c>
      <c r="K21" s="4">
        <f t="shared" si="0"/>
        <v>6.2906106276665347E-2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1">
        <v>73</v>
      </c>
      <c r="S21" s="31">
        <v>18</v>
      </c>
      <c r="T21" s="31">
        <f t="shared" si="6"/>
        <v>91</v>
      </c>
      <c r="U21" s="15"/>
      <c r="V21" s="7">
        <v>90</v>
      </c>
      <c r="W21" s="7">
        <v>73.14</v>
      </c>
      <c r="X21" s="3">
        <v>-46.737419372020142</v>
      </c>
      <c r="Y21" s="4">
        <f t="shared" si="7"/>
        <v>-0.63901311692671781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30"/>
      <c r="AG21" s="30"/>
      <c r="AH21" s="30"/>
      <c r="AJ21" s="3">
        <v>90</v>
      </c>
      <c r="AK21" s="3">
        <v>90</v>
      </c>
      <c r="AL21" s="3">
        <v>-29.877419372020142</v>
      </c>
      <c r="AM21" s="4">
        <f t="shared" si="8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30"/>
      <c r="AU21" s="30"/>
      <c r="AV21" s="30"/>
      <c r="AX21" s="17">
        <v>90</v>
      </c>
      <c r="AY21" s="17">
        <v>90</v>
      </c>
      <c r="AZ21" s="17">
        <v>-29.877419372020142</v>
      </c>
      <c r="BA21" s="4">
        <f t="shared" si="9"/>
        <v>-0.33197132635577936</v>
      </c>
      <c r="BB21" s="3">
        <v>101866.14273796191</v>
      </c>
      <c r="BC21" s="17">
        <f t="shared" si="10"/>
        <v>35.5</v>
      </c>
      <c r="BD21" s="17"/>
      <c r="BE21" s="17"/>
      <c r="BF21" s="3"/>
      <c r="BG21" s="7">
        <v>0.86956521739130432</v>
      </c>
      <c r="BH21" s="30"/>
      <c r="BI21" s="30"/>
      <c r="BJ21" s="30"/>
      <c r="BL21" s="17">
        <f t="shared" si="1"/>
        <v>360</v>
      </c>
      <c r="BM21" s="17">
        <f t="shared" si="2"/>
        <v>377.78298274999997</v>
      </c>
      <c r="BN21" s="17">
        <f t="shared" si="3"/>
        <v>-98.651453396548362</v>
      </c>
      <c r="BO21" s="4">
        <f t="shared" si="11"/>
        <v>-0.26113260231690089</v>
      </c>
      <c r="BP21" s="3">
        <f t="shared" si="4"/>
        <v>99551.003130280951</v>
      </c>
      <c r="BQ21" s="7">
        <f t="shared" si="5"/>
        <v>35.5</v>
      </c>
      <c r="BR21" s="3"/>
      <c r="BS21" s="3"/>
      <c r="BT21" s="7"/>
      <c r="BU21" s="7">
        <f t="shared" si="12"/>
        <v>0.91603823671497575</v>
      </c>
      <c r="BV21" s="30"/>
      <c r="BW21" s="30"/>
      <c r="BX21" s="30"/>
      <c r="BZ21" s="5" t="s">
        <v>90</v>
      </c>
      <c r="CA21" s="5" t="s">
        <v>90</v>
      </c>
      <c r="CB21" s="5" t="s">
        <v>90</v>
      </c>
      <c r="CD21" s="21"/>
      <c r="CF21">
        <f>26.27983+34.48</f>
        <v>60.759829999999994</v>
      </c>
      <c r="CJ21" s="5" t="s">
        <v>91</v>
      </c>
      <c r="CL21" t="s">
        <v>90</v>
      </c>
      <c r="CN21" s="5" t="s">
        <v>105</v>
      </c>
      <c r="CP21" t="s">
        <v>90</v>
      </c>
    </row>
    <row r="22" spans="1:94" x14ac:dyDescent="0.35">
      <c r="A22" s="3" t="s">
        <v>22</v>
      </c>
      <c r="B22" s="3" t="s">
        <v>160</v>
      </c>
      <c r="C22" s="3" t="s">
        <v>142</v>
      </c>
      <c r="D22" s="3" t="s">
        <v>149</v>
      </c>
      <c r="E22" s="26" t="s">
        <v>107</v>
      </c>
      <c r="F22" s="3" t="s">
        <v>2</v>
      </c>
      <c r="G22" s="5"/>
      <c r="H22" s="14">
        <v>15</v>
      </c>
      <c r="I22" s="7">
        <v>2.2600000000000002</v>
      </c>
      <c r="J22" s="3">
        <v>2.2599999999999998</v>
      </c>
      <c r="K22" s="4">
        <f t="shared" si="0"/>
        <v>0.99999999999999978</v>
      </c>
      <c r="L22" s="3">
        <v>103085.48499783476</v>
      </c>
      <c r="M22" s="17">
        <v>0.66666666666666663</v>
      </c>
      <c r="N22" s="4"/>
      <c r="O22" s="4">
        <v>0</v>
      </c>
      <c r="P22" s="6" t="s">
        <v>123</v>
      </c>
      <c r="Q22" s="7">
        <v>0</v>
      </c>
      <c r="R22" s="31">
        <v>0</v>
      </c>
      <c r="S22" s="31">
        <v>0</v>
      </c>
      <c r="T22" s="31">
        <f t="shared" si="6"/>
        <v>0</v>
      </c>
      <c r="U22" s="15"/>
      <c r="V22" s="7">
        <v>23</v>
      </c>
      <c r="W22" s="7">
        <v>13.23</v>
      </c>
      <c r="X22" s="3">
        <v>11.003353524046769</v>
      </c>
      <c r="Y22" s="4">
        <f t="shared" si="7"/>
        <v>0.83169716735047383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30"/>
      <c r="AG22" s="30"/>
      <c r="AH22" s="30"/>
      <c r="AJ22" s="3">
        <v>26</v>
      </c>
      <c r="AK22" s="3">
        <v>26</v>
      </c>
      <c r="AL22" s="3">
        <v>23.773353524046769</v>
      </c>
      <c r="AM22" s="4">
        <f t="shared" si="8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30"/>
      <c r="AU22" s="30"/>
      <c r="AV22" s="30"/>
      <c r="AX22" s="17">
        <v>26</v>
      </c>
      <c r="AY22" s="17">
        <v>26</v>
      </c>
      <c r="AZ22" s="17">
        <v>23.773353524046769</v>
      </c>
      <c r="BA22" s="4">
        <f t="shared" si="9"/>
        <v>0.91435975092487576</v>
      </c>
      <c r="BB22" s="3">
        <v>113394.03349761825</v>
      </c>
      <c r="BC22" s="17">
        <f t="shared" si="10"/>
        <v>0.66666666666666663</v>
      </c>
      <c r="BD22" s="17"/>
      <c r="BE22" s="17"/>
      <c r="BF22" s="3"/>
      <c r="BG22" s="7">
        <v>0</v>
      </c>
      <c r="BH22" s="30"/>
      <c r="BI22" s="30"/>
      <c r="BJ22" s="30"/>
      <c r="BL22" s="17">
        <f t="shared" si="1"/>
        <v>90</v>
      </c>
      <c r="BM22" s="17">
        <f t="shared" si="2"/>
        <v>67.490000000000009</v>
      </c>
      <c r="BN22" s="17">
        <f t="shared" si="3"/>
        <v>60.810060572140308</v>
      </c>
      <c r="BO22" s="4">
        <f t="shared" si="11"/>
        <v>0.90102327118299452</v>
      </c>
      <c r="BP22" s="3">
        <f t="shared" si="4"/>
        <v>110816.89637267237</v>
      </c>
      <c r="BQ22" s="7">
        <f t="shared" si="5"/>
        <v>0.66666666666666663</v>
      </c>
      <c r="BR22" s="3"/>
      <c r="BS22" s="3"/>
      <c r="BT22" s="7"/>
      <c r="BU22" s="7">
        <f t="shared" si="12"/>
        <v>0</v>
      </c>
      <c r="BV22" s="30"/>
      <c r="BW22" s="30"/>
      <c r="BX22" s="30"/>
      <c r="BZ22" s="5" t="s">
        <v>90</v>
      </c>
      <c r="CA22" s="5" t="s">
        <v>90</v>
      </c>
      <c r="CB22" s="5" t="s">
        <v>90</v>
      </c>
      <c r="CD22" s="21"/>
      <c r="CF22">
        <v>0.1</v>
      </c>
      <c r="CJ22" s="5" t="s">
        <v>91</v>
      </c>
      <c r="CL22" t="s">
        <v>91</v>
      </c>
      <c r="CN22" s="5" t="s">
        <v>157</v>
      </c>
      <c r="CP22" t="s">
        <v>91</v>
      </c>
    </row>
    <row r="23" spans="1:94" x14ac:dyDescent="0.35">
      <c r="A23" s="3" t="s">
        <v>44</v>
      </c>
      <c r="B23" s="3" t="s">
        <v>160</v>
      </c>
      <c r="C23" s="3" t="s">
        <v>146</v>
      </c>
      <c r="D23" s="3" t="s">
        <v>150</v>
      </c>
      <c r="E23" s="2" t="s">
        <v>107</v>
      </c>
      <c r="F23" s="3" t="s">
        <v>70</v>
      </c>
      <c r="G23" s="5"/>
      <c r="H23" s="14">
        <v>4</v>
      </c>
      <c r="I23" s="7">
        <v>2.3909400000000001</v>
      </c>
      <c r="J23" s="3">
        <v>-0.84220144258580554</v>
      </c>
      <c r="K23" s="4">
        <f t="shared" si="0"/>
        <v>-0.35224700016972632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1">
        <v>2</v>
      </c>
      <c r="S23" s="31">
        <v>1</v>
      </c>
      <c r="T23" s="31">
        <f t="shared" si="6"/>
        <v>3</v>
      </c>
      <c r="U23" s="15"/>
      <c r="V23" s="7">
        <v>4</v>
      </c>
      <c r="W23" s="7">
        <v>2.5</v>
      </c>
      <c r="X23" s="3">
        <v>-0.11884456849450231</v>
      </c>
      <c r="Y23" s="4">
        <f t="shared" si="7"/>
        <v>-4.7537827397800922E-2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30"/>
      <c r="AG23" s="30"/>
      <c r="AH23" s="30"/>
      <c r="AJ23" s="3">
        <v>0</v>
      </c>
      <c r="AK23" s="3">
        <v>0</v>
      </c>
      <c r="AL23" s="3">
        <v>-2.6188445684945023</v>
      </c>
      <c r="AM23" s="4">
        <f t="shared" si="8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30"/>
      <c r="AU23" s="30"/>
      <c r="AV23" s="30"/>
      <c r="AX23" s="17">
        <v>0</v>
      </c>
      <c r="AY23" s="17">
        <v>0</v>
      </c>
      <c r="AZ23" s="17">
        <v>-2.6188445684945023</v>
      </c>
      <c r="BA23" s="4">
        <f t="shared" si="9"/>
        <v>0</v>
      </c>
      <c r="BB23" s="3">
        <v>121160.29442970302</v>
      </c>
      <c r="BC23" s="17">
        <f t="shared" si="10"/>
        <v>1</v>
      </c>
      <c r="BD23" s="17"/>
      <c r="BE23" s="17"/>
      <c r="BF23" s="3"/>
      <c r="BG23" s="7">
        <v>0</v>
      </c>
      <c r="BH23" s="30"/>
      <c r="BI23" s="30"/>
      <c r="BJ23" s="30"/>
      <c r="BL23" s="17">
        <f t="shared" si="1"/>
        <v>8</v>
      </c>
      <c r="BM23" s="17">
        <f t="shared" si="2"/>
        <v>4.8909400000000005</v>
      </c>
      <c r="BN23" s="17">
        <f t="shared" si="3"/>
        <v>-6.1987351480693125</v>
      </c>
      <c r="BO23" s="4">
        <f t="shared" si="11"/>
        <v>-1.2673913701802335</v>
      </c>
      <c r="BP23" s="3">
        <f t="shared" si="4"/>
        <v>118406.65137448251</v>
      </c>
      <c r="BQ23" s="7">
        <f t="shared" si="5"/>
        <v>1</v>
      </c>
      <c r="BR23" s="3"/>
      <c r="BS23" s="3"/>
      <c r="BT23" s="7"/>
      <c r="BU23" s="7">
        <f t="shared" si="12"/>
        <v>0.55703749999999996</v>
      </c>
      <c r="BV23" s="30"/>
      <c r="BW23" s="30"/>
      <c r="BX23" s="30"/>
      <c r="BZ23" s="5" t="s">
        <v>90</v>
      </c>
      <c r="CA23" s="5" t="s">
        <v>90</v>
      </c>
      <c r="CB23" s="5" t="s">
        <v>90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91</v>
      </c>
      <c r="CL23" t="s">
        <v>91</v>
      </c>
      <c r="CN23" s="5" t="s">
        <v>105</v>
      </c>
      <c r="CP23" t="s">
        <v>91</v>
      </c>
    </row>
    <row r="24" spans="1:94" x14ac:dyDescent="0.35">
      <c r="A24" s="3" t="s">
        <v>45</v>
      </c>
      <c r="B24" s="3" t="s">
        <v>161</v>
      </c>
      <c r="C24" s="3" t="s">
        <v>148</v>
      </c>
      <c r="D24" s="3" t="s">
        <v>127</v>
      </c>
      <c r="E24" s="25" t="s">
        <v>107</v>
      </c>
      <c r="F24" s="3" t="s">
        <v>85</v>
      </c>
      <c r="G24" s="5"/>
      <c r="H24" s="14">
        <v>32</v>
      </c>
      <c r="I24" s="7">
        <v>8.9005700000000001</v>
      </c>
      <c r="J24" s="3">
        <v>-11.011614306428507</v>
      </c>
      <c r="K24" s="4">
        <f t="shared" si="0"/>
        <v>-1.2371807992553856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1">
        <v>15</v>
      </c>
      <c r="S24" s="31">
        <v>0</v>
      </c>
      <c r="T24" s="31">
        <f t="shared" si="6"/>
        <v>15</v>
      </c>
      <c r="U24" s="15"/>
      <c r="V24" s="7">
        <v>29</v>
      </c>
      <c r="W24" s="7">
        <v>22.5</v>
      </c>
      <c r="X24" s="3">
        <v>0.66834942117908014</v>
      </c>
      <c r="Y24" s="4">
        <f t="shared" si="7"/>
        <v>2.9704418719070227E-2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30"/>
      <c r="AG24" s="30"/>
      <c r="AH24" s="30"/>
      <c r="AJ24" s="3">
        <v>29</v>
      </c>
      <c r="AK24" s="3">
        <v>24</v>
      </c>
      <c r="AL24" s="3">
        <v>2.1683494211790801</v>
      </c>
      <c r="AM24" s="4">
        <f t="shared" si="8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30"/>
      <c r="AU24" s="30"/>
      <c r="AV24" s="30"/>
      <c r="AX24" s="17">
        <v>30</v>
      </c>
      <c r="AY24" s="17">
        <v>27</v>
      </c>
      <c r="AZ24" s="17">
        <v>5.1683494211790801</v>
      </c>
      <c r="BA24" s="4">
        <f t="shared" si="9"/>
        <v>0.19142034893255852</v>
      </c>
      <c r="BB24" s="3">
        <v>110922.19210275145</v>
      </c>
      <c r="BC24" s="17">
        <f t="shared" si="10"/>
        <v>5</v>
      </c>
      <c r="BD24" s="17"/>
      <c r="BE24" s="17"/>
      <c r="BF24" s="3"/>
      <c r="BG24" s="7">
        <v>3.225806451612903</v>
      </c>
      <c r="BH24" s="30"/>
      <c r="BI24" s="30"/>
      <c r="BJ24" s="30"/>
      <c r="BL24" s="17">
        <f t="shared" si="1"/>
        <v>120</v>
      </c>
      <c r="BM24" s="17">
        <f t="shared" si="2"/>
        <v>82.400570000000002</v>
      </c>
      <c r="BN24" s="17">
        <f t="shared" si="3"/>
        <v>-3.0065660428912668</v>
      </c>
      <c r="BO24" s="4">
        <f t="shared" si="11"/>
        <v>-3.6487199577518295E-2</v>
      </c>
      <c r="BP24" s="3">
        <f t="shared" si="4"/>
        <v>108401.23319132529</v>
      </c>
      <c r="BQ24" s="7">
        <f t="shared" si="5"/>
        <v>5</v>
      </c>
      <c r="BR24" s="3"/>
      <c r="BS24" s="3"/>
      <c r="BT24" s="7"/>
      <c r="BU24" s="7">
        <f t="shared" si="12"/>
        <v>2.707273387096774</v>
      </c>
      <c r="BV24" s="30"/>
      <c r="BW24" s="30"/>
      <c r="BX24" s="30"/>
      <c r="BZ24" s="5" t="s">
        <v>90</v>
      </c>
      <c r="CA24" s="5" t="s">
        <v>90</v>
      </c>
      <c r="CB24" s="5" t="s">
        <v>90</v>
      </c>
      <c r="CD24" s="21"/>
      <c r="CF24">
        <v>2.4</v>
      </c>
      <c r="CH24">
        <f>10643418/100000</f>
        <v>106.43418</v>
      </c>
      <c r="CJ24" s="5" t="s">
        <v>91</v>
      </c>
      <c r="CL24" t="s">
        <v>91</v>
      </c>
      <c r="CN24" s="5" t="s">
        <v>105</v>
      </c>
      <c r="CP24" t="s">
        <v>91</v>
      </c>
    </row>
    <row r="25" spans="1:94" x14ac:dyDescent="0.35">
      <c r="A25" s="3" t="s">
        <v>3</v>
      </c>
      <c r="B25" s="3" t="s">
        <v>160</v>
      </c>
      <c r="C25" s="3" t="s">
        <v>142</v>
      </c>
      <c r="D25" s="3" t="s">
        <v>83</v>
      </c>
      <c r="E25" s="25" t="s">
        <v>107</v>
      </c>
      <c r="F25" s="3" t="s">
        <v>2</v>
      </c>
      <c r="G25" s="5"/>
      <c r="H25" s="14">
        <v>21</v>
      </c>
      <c r="I25" s="7">
        <v>28.285993500000004</v>
      </c>
      <c r="J25" s="3">
        <v>11.434882032019893</v>
      </c>
      <c r="K25" s="4">
        <f t="shared" si="0"/>
        <v>0.40425951565109042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1">
        <v>27</v>
      </c>
      <c r="S25" s="31">
        <v>3</v>
      </c>
      <c r="T25" s="31">
        <f t="shared" si="6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7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30"/>
      <c r="AG25" s="30"/>
      <c r="AH25" s="30"/>
      <c r="AJ25" s="3">
        <v>22</v>
      </c>
      <c r="AK25" s="3">
        <v>22</v>
      </c>
      <c r="AL25" s="3">
        <v>3.5889768949866863</v>
      </c>
      <c r="AM25" s="4">
        <f t="shared" si="8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30"/>
      <c r="AU25" s="30"/>
      <c r="AV25" s="30"/>
      <c r="AX25" s="17">
        <v>21.5</v>
      </c>
      <c r="AY25" s="17">
        <v>21.5</v>
      </c>
      <c r="AZ25" s="17">
        <v>3.0889768949866863</v>
      </c>
      <c r="BA25" s="4">
        <f t="shared" si="9"/>
        <v>0.14367334395286913</v>
      </c>
      <c r="BB25" s="3">
        <v>109867.68600872517</v>
      </c>
      <c r="BC25" s="17">
        <f t="shared" si="10"/>
        <v>5</v>
      </c>
      <c r="BD25" s="17"/>
      <c r="BE25" s="17"/>
      <c r="BF25" s="3"/>
      <c r="BG25" s="7">
        <v>1.7916666666666667</v>
      </c>
      <c r="BH25" s="30"/>
      <c r="BI25" s="30"/>
      <c r="BJ25" s="30"/>
      <c r="BL25" s="17">
        <f t="shared" si="1"/>
        <v>86.5</v>
      </c>
      <c r="BM25" s="17">
        <f t="shared" si="2"/>
        <v>96.785993500000004</v>
      </c>
      <c r="BN25" s="17">
        <f t="shared" si="3"/>
        <v>24.701812716979951</v>
      </c>
      <c r="BO25" s="4">
        <f t="shared" si="11"/>
        <v>0.2552209449291849</v>
      </c>
      <c r="BP25" s="3">
        <f t="shared" si="4"/>
        <v>107370.69314489051</v>
      </c>
      <c r="BQ25" s="7">
        <f t="shared" si="5"/>
        <v>5</v>
      </c>
      <c r="BR25" s="3"/>
      <c r="BS25" s="3"/>
      <c r="BT25" s="7"/>
      <c r="BU25" s="7">
        <f t="shared" si="12"/>
        <v>1.9794937500000001</v>
      </c>
      <c r="BV25" s="30"/>
      <c r="BW25" s="30"/>
      <c r="BX25" s="30"/>
      <c r="BZ25" s="5" t="s">
        <v>90</v>
      </c>
      <c r="CA25" s="5" t="s">
        <v>90</v>
      </c>
      <c r="CB25" s="5" t="s">
        <v>90</v>
      </c>
      <c r="CD25" s="21"/>
      <c r="CH25">
        <f>1952868/100000</f>
        <v>19.528680000000001</v>
      </c>
      <c r="CJ25" s="5" t="s">
        <v>91</v>
      </c>
      <c r="CL25" t="s">
        <v>90</v>
      </c>
      <c r="CN25" s="5" t="s">
        <v>105</v>
      </c>
      <c r="CP25" t="s">
        <v>91</v>
      </c>
    </row>
    <row r="26" spans="1:94" x14ac:dyDescent="0.35">
      <c r="A26" s="36" t="s">
        <v>46</v>
      </c>
      <c r="B26" s="3" t="s">
        <v>160</v>
      </c>
      <c r="C26" s="3" t="s">
        <v>146</v>
      </c>
      <c r="D26" s="3" t="s">
        <v>146</v>
      </c>
      <c r="E26" s="2" t="s">
        <v>107</v>
      </c>
      <c r="F26" s="3" t="s">
        <v>70</v>
      </c>
      <c r="G26" s="5"/>
      <c r="H26" s="14">
        <v>48</v>
      </c>
      <c r="I26" s="7">
        <v>96.052480000000003</v>
      </c>
      <c r="J26" s="3">
        <v>15.592932069827873</v>
      </c>
      <c r="K26" s="4">
        <f t="shared" si="0"/>
        <v>0.16233763115567523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1">
        <v>56</v>
      </c>
      <c r="S26" s="31">
        <v>16</v>
      </c>
      <c r="T26" s="31">
        <f t="shared" si="6"/>
        <v>72</v>
      </c>
      <c r="U26" s="15"/>
      <c r="V26" s="7">
        <v>48</v>
      </c>
      <c r="W26" s="7">
        <v>48</v>
      </c>
      <c r="X26" s="3">
        <v>-24.18199956970426</v>
      </c>
      <c r="Y26" s="4">
        <f t="shared" si="7"/>
        <v>-0.50379165770217205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30"/>
      <c r="AG26" s="30"/>
      <c r="AH26" s="30"/>
      <c r="AJ26" s="3">
        <v>48</v>
      </c>
      <c r="AK26" s="3">
        <v>48</v>
      </c>
      <c r="AL26" s="3">
        <v>-24.18199956970426</v>
      </c>
      <c r="AM26" s="4">
        <f t="shared" si="8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30"/>
      <c r="AU26" s="30"/>
      <c r="AV26" s="30"/>
      <c r="AX26" s="17">
        <v>48</v>
      </c>
      <c r="AY26" s="17">
        <v>48</v>
      </c>
      <c r="AZ26" s="17">
        <v>-24.18199956970426</v>
      </c>
      <c r="BA26" s="4">
        <f t="shared" si="9"/>
        <v>-0.50379165770217205</v>
      </c>
      <c r="BB26" s="3">
        <v>128852.65163945478</v>
      </c>
      <c r="BC26" s="17">
        <f t="shared" si="10"/>
        <v>18.666666666666668</v>
      </c>
      <c r="BD26" s="17"/>
      <c r="BE26" s="17"/>
      <c r="BF26" s="3"/>
      <c r="BG26" s="7">
        <v>0.94117647058823528</v>
      </c>
      <c r="BH26" s="30"/>
      <c r="BI26" s="30"/>
      <c r="BJ26" s="30"/>
      <c r="BL26" s="17">
        <f t="shared" si="1"/>
        <v>192</v>
      </c>
      <c r="BM26" s="17">
        <f t="shared" si="2"/>
        <v>240.05248</v>
      </c>
      <c r="BN26" s="17">
        <f t="shared" si="3"/>
        <v>-56.953066639284906</v>
      </c>
      <c r="BO26" s="4">
        <f t="shared" si="11"/>
        <v>-0.23725256510278464</v>
      </c>
      <c r="BP26" s="3">
        <f t="shared" si="4"/>
        <v>125924.18228401261</v>
      </c>
      <c r="BQ26" s="7">
        <f t="shared" si="5"/>
        <v>18.666666666666668</v>
      </c>
      <c r="BR26" s="3"/>
      <c r="BS26" s="3"/>
      <c r="BT26" s="7"/>
      <c r="BU26" s="7">
        <f t="shared" si="12"/>
        <v>0.94227196078431374</v>
      </c>
      <c r="BV26" s="30"/>
      <c r="BW26" s="30"/>
      <c r="BX26" s="30"/>
      <c r="BZ26" s="5" t="s">
        <v>90</v>
      </c>
      <c r="CA26" s="5" t="s">
        <v>90</v>
      </c>
      <c r="CB26" s="5" t="s">
        <v>90</v>
      </c>
      <c r="CD26" s="21"/>
      <c r="CH26">
        <f>5954090/100000</f>
        <v>59.540900000000001</v>
      </c>
      <c r="CJ26" s="5" t="s">
        <v>91</v>
      </c>
      <c r="CL26" t="s">
        <v>91</v>
      </c>
      <c r="CN26" s="5" t="s">
        <v>105</v>
      </c>
      <c r="CP26" t="s">
        <v>91</v>
      </c>
    </row>
    <row r="27" spans="1:94" x14ac:dyDescent="0.35">
      <c r="A27" s="3" t="s">
        <v>63</v>
      </c>
      <c r="B27" s="3" t="s">
        <v>160</v>
      </c>
      <c r="C27" s="3" t="s">
        <v>146</v>
      </c>
      <c r="D27" s="3" t="s">
        <v>146</v>
      </c>
      <c r="E27" s="2" t="s">
        <v>107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 t="shared" si="0"/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123</v>
      </c>
      <c r="Q27" s="7">
        <v>0</v>
      </c>
      <c r="R27" s="31">
        <v>0</v>
      </c>
      <c r="S27" s="31">
        <v>0</v>
      </c>
      <c r="T27" s="31">
        <f t="shared" si="6"/>
        <v>0</v>
      </c>
      <c r="U27" s="15"/>
      <c r="V27" s="7">
        <v>4</v>
      </c>
      <c r="W27" s="7">
        <v>3</v>
      </c>
      <c r="X27" s="3">
        <v>1.5644221688453399</v>
      </c>
      <c r="Y27" s="4">
        <f t="shared" si="7"/>
        <v>0.52147405628178001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30"/>
      <c r="AG27" s="30"/>
      <c r="AH27" s="30"/>
      <c r="AJ27" s="3">
        <v>2</v>
      </c>
      <c r="AK27" s="3">
        <v>2</v>
      </c>
      <c r="AL27" s="3">
        <v>0.56442216884533991</v>
      </c>
      <c r="AM27" s="4">
        <f t="shared" si="8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30"/>
      <c r="AU27" s="30"/>
      <c r="AV27" s="30"/>
      <c r="AX27" s="17">
        <v>1</v>
      </c>
      <c r="AY27" s="17">
        <v>1</v>
      </c>
      <c r="AZ27" s="17">
        <v>-0.43557783115466009</v>
      </c>
      <c r="BA27" s="4">
        <f t="shared" si="9"/>
        <v>-0.43557783115466009</v>
      </c>
      <c r="BB27" s="3">
        <v>143349.27507898747</v>
      </c>
      <c r="BC27" s="17">
        <f t="shared" si="10"/>
        <v>0.33333333333333331</v>
      </c>
      <c r="BD27" s="17"/>
      <c r="BE27" s="17"/>
      <c r="BF27" s="3"/>
      <c r="BG27" s="7">
        <v>0</v>
      </c>
      <c r="BH27" s="30"/>
      <c r="BI27" s="30"/>
      <c r="BJ27" s="30"/>
      <c r="BL27" s="17">
        <f t="shared" si="1"/>
        <v>25</v>
      </c>
      <c r="BM27" s="17">
        <f t="shared" si="2"/>
        <v>6</v>
      </c>
      <c r="BN27" s="17">
        <f t="shared" si="3"/>
        <v>1.6932665065360197</v>
      </c>
      <c r="BO27" s="4">
        <f t="shared" si="11"/>
        <v>0.28221108442266996</v>
      </c>
      <c r="BP27" s="3">
        <f t="shared" si="4"/>
        <v>140091.33700901049</v>
      </c>
      <c r="BQ27" s="7">
        <f t="shared" si="5"/>
        <v>0.33333333333333331</v>
      </c>
      <c r="BR27" s="3"/>
      <c r="BS27" s="3"/>
      <c r="BT27" s="7"/>
      <c r="BU27" s="7">
        <f t="shared" si="12"/>
        <v>0</v>
      </c>
      <c r="BV27" s="30"/>
      <c r="BW27" s="30"/>
      <c r="BX27" s="30"/>
      <c r="BZ27" s="5" t="s">
        <v>90</v>
      </c>
      <c r="CA27" s="5" t="s">
        <v>90</v>
      </c>
      <c r="CB27" s="5" t="s">
        <v>90</v>
      </c>
      <c r="CD27" s="21"/>
      <c r="CJ27" s="5" t="s">
        <v>91</v>
      </c>
      <c r="CL27" t="s">
        <v>91</v>
      </c>
      <c r="CN27" s="5" t="s">
        <v>157</v>
      </c>
      <c r="CP27" t="s">
        <v>91</v>
      </c>
    </row>
    <row r="28" spans="1:94" x14ac:dyDescent="0.35">
      <c r="A28" s="3" t="s">
        <v>47</v>
      </c>
      <c r="B28" s="3" t="s">
        <v>160</v>
      </c>
      <c r="C28" s="3" t="s">
        <v>142</v>
      </c>
      <c r="D28" s="3" t="s">
        <v>127</v>
      </c>
      <c r="E28" s="25" t="s">
        <v>107</v>
      </c>
      <c r="F28" s="3" t="s">
        <v>85</v>
      </c>
      <c r="G28" s="5"/>
      <c r="H28" s="14">
        <v>33</v>
      </c>
      <c r="I28" s="7">
        <v>33.69</v>
      </c>
      <c r="J28" s="3">
        <v>0.52559002229670182</v>
      </c>
      <c r="K28" s="4">
        <f t="shared" si="0"/>
        <v>1.5600772404176368E-2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1">
        <v>32</v>
      </c>
      <c r="S28" s="31">
        <v>49</v>
      </c>
      <c r="T28" s="31">
        <f t="shared" si="6"/>
        <v>81</v>
      </c>
      <c r="U28" s="15"/>
      <c r="V28" s="7">
        <v>50</v>
      </c>
      <c r="W28" s="7">
        <v>50</v>
      </c>
      <c r="X28" s="3">
        <v>15.262871531248564</v>
      </c>
      <c r="Y28" s="4">
        <f t="shared" si="7"/>
        <v>0.30525743062497129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30"/>
      <c r="AG28" s="30"/>
      <c r="AH28" s="30"/>
      <c r="AJ28" s="3">
        <v>58</v>
      </c>
      <c r="AK28" s="3">
        <v>58</v>
      </c>
      <c r="AL28" s="3">
        <v>23.262871531248564</v>
      </c>
      <c r="AM28" s="4">
        <f t="shared" si="8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30"/>
      <c r="AU28" s="30"/>
      <c r="AV28" s="30"/>
      <c r="AX28" s="17">
        <v>38</v>
      </c>
      <c r="AY28" s="17">
        <v>38</v>
      </c>
      <c r="AZ28" s="17">
        <v>3.2628715312485639</v>
      </c>
      <c r="BA28" s="4">
        <f t="shared" si="9"/>
        <v>8.5865040296014841E-2</v>
      </c>
      <c r="BB28" s="3">
        <v>91610.207494955641</v>
      </c>
      <c r="BC28" s="17">
        <f t="shared" si="10"/>
        <v>13.333333333333334</v>
      </c>
      <c r="BD28" s="17"/>
      <c r="BE28" s="17"/>
      <c r="BF28" s="3"/>
      <c r="BG28" s="7">
        <v>1.1209439528023597</v>
      </c>
      <c r="BH28" s="30"/>
      <c r="BI28" s="30"/>
      <c r="BJ28" s="30"/>
      <c r="BL28" s="17">
        <f t="shared" si="1"/>
        <v>179</v>
      </c>
      <c r="BM28" s="17">
        <f t="shared" si="2"/>
        <v>179.69</v>
      </c>
      <c r="BN28" s="17">
        <f t="shared" si="3"/>
        <v>42.314204616042396</v>
      </c>
      <c r="BO28" s="4">
        <f t="shared" si="11"/>
        <v>0.23548447112272466</v>
      </c>
      <c r="BP28" s="3">
        <f t="shared" si="4"/>
        <v>89528.157324615735</v>
      </c>
      <c r="BQ28" s="7">
        <f t="shared" si="5"/>
        <v>13.333333333333334</v>
      </c>
      <c r="BR28" s="3"/>
      <c r="BS28" s="3"/>
      <c r="BT28" s="7"/>
      <c r="BU28" s="7">
        <f t="shared" si="12"/>
        <v>1.3221976401179938</v>
      </c>
      <c r="BV28" s="30"/>
      <c r="BW28" s="30"/>
      <c r="BX28" s="30"/>
      <c r="BZ28" s="5" t="s">
        <v>90</v>
      </c>
      <c r="CA28" s="5" t="s">
        <v>90</v>
      </c>
      <c r="CB28" s="5" t="s">
        <v>90</v>
      </c>
      <c r="CD28" s="21"/>
      <c r="CJ28" s="5" t="s">
        <v>91</v>
      </c>
      <c r="CL28" t="s">
        <v>90</v>
      </c>
      <c r="CN28" s="5" t="s">
        <v>104</v>
      </c>
      <c r="CP28" t="s">
        <v>91</v>
      </c>
    </row>
    <row r="29" spans="1:94" x14ac:dyDescent="0.35">
      <c r="A29" s="36" t="s">
        <v>5</v>
      </c>
      <c r="B29" s="3" t="s">
        <v>160</v>
      </c>
      <c r="C29" s="3" t="s">
        <v>142</v>
      </c>
      <c r="D29" s="3" t="s">
        <v>83</v>
      </c>
      <c r="E29" s="25" t="s">
        <v>107</v>
      </c>
      <c r="F29" s="3" t="s">
        <v>2</v>
      </c>
      <c r="G29" s="5"/>
      <c r="H29" s="14">
        <v>12</v>
      </c>
      <c r="I29" s="7">
        <v>38.650710000000004</v>
      </c>
      <c r="J29" s="3">
        <v>18.85016466071329</v>
      </c>
      <c r="K29" s="4">
        <f t="shared" si="0"/>
        <v>0.48770552108132781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1">
        <v>16</v>
      </c>
      <c r="S29" s="31">
        <v>1</v>
      </c>
      <c r="T29" s="31">
        <f t="shared" si="6"/>
        <v>17</v>
      </c>
      <c r="U29" s="15"/>
      <c r="V29" s="7">
        <v>16</v>
      </c>
      <c r="W29" s="7">
        <v>21.375999999999998</v>
      </c>
      <c r="X29" s="3">
        <v>-9.0913462557081779</v>
      </c>
      <c r="Y29" s="4">
        <f t="shared" si="7"/>
        <v>-0.42530624324982125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30"/>
      <c r="AG29" s="30"/>
      <c r="AH29" s="30"/>
      <c r="AJ29" s="3">
        <v>16</v>
      </c>
      <c r="AK29" s="3">
        <v>16</v>
      </c>
      <c r="AL29" s="3">
        <v>-14.467346255708176</v>
      </c>
      <c r="AM29" s="4">
        <f t="shared" si="8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30"/>
      <c r="AU29" s="30"/>
      <c r="AV29" s="30"/>
      <c r="AX29" s="17">
        <v>16</v>
      </c>
      <c r="AY29" s="17">
        <v>16</v>
      </c>
      <c r="AZ29" s="17">
        <v>-14.467346255708176</v>
      </c>
      <c r="BA29" s="4">
        <f t="shared" si="9"/>
        <v>-0.90420914098176097</v>
      </c>
      <c r="BB29" s="3">
        <v>100930.86921463661</v>
      </c>
      <c r="BC29" s="17">
        <f t="shared" si="10"/>
        <v>7</v>
      </c>
      <c r="BD29" s="17"/>
      <c r="BE29" s="17"/>
      <c r="BF29" s="3"/>
      <c r="BG29" s="7">
        <v>0.88888888888888884</v>
      </c>
      <c r="BH29" s="30"/>
      <c r="BI29" s="30"/>
      <c r="BJ29" s="30"/>
      <c r="BL29" s="17">
        <f t="shared" si="1"/>
        <v>60</v>
      </c>
      <c r="BM29" s="17">
        <f t="shared" si="2"/>
        <v>92.026710000000008</v>
      </c>
      <c r="BN29" s="17">
        <f t="shared" si="3"/>
        <v>-19.175874106411243</v>
      </c>
      <c r="BO29" s="4">
        <f t="shared" si="11"/>
        <v>-0.20837291810618069</v>
      </c>
      <c r="BP29" s="3">
        <f t="shared" si="4"/>
        <v>98636.985823394876</v>
      </c>
      <c r="BQ29" s="7">
        <f t="shared" si="5"/>
        <v>7</v>
      </c>
      <c r="BR29" s="3"/>
      <c r="BS29" s="3"/>
      <c r="BT29" s="7"/>
      <c r="BU29" s="7">
        <f t="shared" si="12"/>
        <v>0.92848208333333326</v>
      </c>
      <c r="BV29" s="30"/>
      <c r="BW29" s="30"/>
      <c r="BX29" s="30"/>
      <c r="BZ29" s="5" t="s">
        <v>90</v>
      </c>
      <c r="CA29" s="5" t="s">
        <v>90</v>
      </c>
      <c r="CB29" s="5" t="s">
        <v>90</v>
      </c>
      <c r="CD29" s="21"/>
      <c r="CF29">
        <v>6.48</v>
      </c>
      <c r="CH29">
        <f>1992034/100000</f>
        <v>19.920339999999999</v>
      </c>
      <c r="CJ29" s="5" t="s">
        <v>91</v>
      </c>
      <c r="CL29" t="s">
        <v>91</v>
      </c>
      <c r="CN29" s="5" t="s">
        <v>105</v>
      </c>
      <c r="CP29" t="s">
        <v>91</v>
      </c>
    </row>
    <row r="30" spans="1:94" x14ac:dyDescent="0.35">
      <c r="A30" s="3" t="s">
        <v>21</v>
      </c>
      <c r="B30" s="3" t="s">
        <v>160</v>
      </c>
      <c r="C30" s="3" t="s">
        <v>142</v>
      </c>
      <c r="D30" s="3" t="s">
        <v>83</v>
      </c>
      <c r="E30" s="26" t="s">
        <v>107</v>
      </c>
      <c r="F30" s="3" t="s">
        <v>2</v>
      </c>
      <c r="G30" s="5"/>
      <c r="H30" s="14">
        <v>3</v>
      </c>
      <c r="I30" s="7">
        <v>1.8</v>
      </c>
      <c r="J30" s="3">
        <v>1.8</v>
      </c>
      <c r="K30" s="4">
        <f t="shared" si="0"/>
        <v>1</v>
      </c>
      <c r="L30" s="3">
        <v>110000</v>
      </c>
      <c r="M30" s="17">
        <v>0</v>
      </c>
      <c r="N30" s="4"/>
      <c r="O30" s="4">
        <v>0</v>
      </c>
      <c r="P30" s="6" t="s">
        <v>123</v>
      </c>
      <c r="Q30" s="7">
        <v>0</v>
      </c>
      <c r="R30" s="31">
        <v>0</v>
      </c>
      <c r="S30" s="31">
        <v>0</v>
      </c>
      <c r="T30" s="31">
        <f t="shared" si="6"/>
        <v>0</v>
      </c>
      <c r="U30" s="15"/>
      <c r="V30" s="7">
        <v>3</v>
      </c>
      <c r="W30" s="7">
        <v>5</v>
      </c>
      <c r="X30" s="3">
        <v>3.8119999999999998</v>
      </c>
      <c r="Y30" s="4">
        <f t="shared" si="7"/>
        <v>0.76239999999999997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30"/>
      <c r="AG30" s="30"/>
      <c r="AH30" s="30"/>
      <c r="AJ30" s="3">
        <v>2</v>
      </c>
      <c r="AK30" s="3">
        <v>2</v>
      </c>
      <c r="AL30" s="3">
        <v>0.81199999999999983</v>
      </c>
      <c r="AM30" s="4">
        <f t="shared" si="8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30"/>
      <c r="AU30" s="30"/>
      <c r="AV30" s="30"/>
      <c r="AX30" s="17">
        <v>2</v>
      </c>
      <c r="AY30" s="17">
        <v>2</v>
      </c>
      <c r="AZ30" s="17">
        <v>0.81199999999999983</v>
      </c>
      <c r="BA30" s="4">
        <f t="shared" si="9"/>
        <v>0.40599999999999992</v>
      </c>
      <c r="BB30" s="3">
        <v>146410.00000000006</v>
      </c>
      <c r="BC30" s="17">
        <f t="shared" si="10"/>
        <v>0</v>
      </c>
      <c r="BD30" s="17"/>
      <c r="BE30" s="17"/>
      <c r="BF30" s="3"/>
      <c r="BG30" s="7">
        <v>0</v>
      </c>
      <c r="BH30" s="30"/>
      <c r="BI30" s="30"/>
      <c r="BJ30" s="30"/>
      <c r="BL30" s="17">
        <f t="shared" si="1"/>
        <v>10</v>
      </c>
      <c r="BM30" s="17">
        <f t="shared" si="2"/>
        <v>10.8</v>
      </c>
      <c r="BN30" s="17">
        <f t="shared" si="3"/>
        <v>7.2359999999999998</v>
      </c>
      <c r="BO30" s="4">
        <f t="shared" si="11"/>
        <v>0.66999999999999993</v>
      </c>
      <c r="BP30" s="3">
        <f t="shared" si="4"/>
        <v>127627.50000000001</v>
      </c>
      <c r="BQ30" s="7">
        <f t="shared" si="5"/>
        <v>0</v>
      </c>
      <c r="BR30" s="3"/>
      <c r="BS30" s="3"/>
      <c r="BT30" s="7"/>
      <c r="BU30" s="7">
        <f t="shared" si="12"/>
        <v>0</v>
      </c>
      <c r="BV30" s="30"/>
      <c r="BW30" s="30"/>
      <c r="BX30" s="30"/>
      <c r="BZ30" s="5" t="s">
        <v>90</v>
      </c>
      <c r="CA30" s="5" t="s">
        <v>90</v>
      </c>
      <c r="CB30" s="5" t="s">
        <v>90</v>
      </c>
      <c r="CD30" s="21"/>
      <c r="CJ30" s="5" t="s">
        <v>91</v>
      </c>
      <c r="CL30" t="s">
        <v>91</v>
      </c>
      <c r="CN30" s="5" t="s">
        <v>157</v>
      </c>
      <c r="CP30" t="s">
        <v>91</v>
      </c>
    </row>
    <row r="31" spans="1:94" x14ac:dyDescent="0.35">
      <c r="A31" s="3" t="s">
        <v>48</v>
      </c>
      <c r="B31" s="3" t="s">
        <v>160</v>
      </c>
      <c r="C31" s="3" t="s">
        <v>142</v>
      </c>
      <c r="D31" s="3" t="s">
        <v>127</v>
      </c>
      <c r="E31" s="25" t="s">
        <v>107</v>
      </c>
      <c r="F31" s="3" t="s">
        <v>85</v>
      </c>
      <c r="G31" s="5"/>
      <c r="H31" s="14">
        <v>100</v>
      </c>
      <c r="I31" s="7">
        <v>95.5</v>
      </c>
      <c r="J31" s="3">
        <v>7.9086017138790785</v>
      </c>
      <c r="K31" s="4">
        <f t="shared" si="0"/>
        <v>8.281258339140396E-2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1">
        <v>134</v>
      </c>
      <c r="S31" s="31">
        <v>18</v>
      </c>
      <c r="T31" s="31">
        <f t="shared" si="6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7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30"/>
      <c r="AG31" s="30"/>
      <c r="AH31" s="30"/>
      <c r="AJ31" s="3">
        <v>133</v>
      </c>
      <c r="AK31" s="3">
        <v>133</v>
      </c>
      <c r="AL31" s="3">
        <v>50.431986164266604</v>
      </c>
      <c r="AM31" s="4">
        <f t="shared" si="8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30"/>
      <c r="AU31" s="30"/>
      <c r="AV31" s="30"/>
      <c r="AX31" s="17">
        <v>120</v>
      </c>
      <c r="AY31" s="17">
        <v>120</v>
      </c>
      <c r="AZ31" s="17">
        <v>37.431986164266604</v>
      </c>
      <c r="BA31" s="4">
        <f t="shared" si="9"/>
        <v>0.31193321803555502</v>
      </c>
      <c r="BB31" s="3">
        <v>101801.76709235135</v>
      </c>
      <c r="BC31" s="17">
        <f t="shared" si="10"/>
        <v>27.666666666666668</v>
      </c>
      <c r="BD31" s="17"/>
      <c r="BE31" s="17"/>
      <c r="BF31" s="3"/>
      <c r="BG31" s="7">
        <v>1.6877637130801688</v>
      </c>
      <c r="BH31" s="30"/>
      <c r="BI31" s="30"/>
      <c r="BJ31" s="30"/>
      <c r="BL31" s="17">
        <f t="shared" si="1"/>
        <v>480</v>
      </c>
      <c r="BM31" s="17">
        <f t="shared" si="2"/>
        <v>475.5</v>
      </c>
      <c r="BN31" s="17">
        <f t="shared" si="3"/>
        <v>140.20456020667888</v>
      </c>
      <c r="BO31" s="4">
        <f t="shared" si="11"/>
        <v>0.29485711925694824</v>
      </c>
      <c r="BP31" s="3">
        <f t="shared" si="4"/>
        <v>99488.090567525171</v>
      </c>
      <c r="BQ31" s="7">
        <f t="shared" si="5"/>
        <v>27.666666666666668</v>
      </c>
      <c r="BR31" s="3"/>
      <c r="BS31" s="3"/>
      <c r="BT31" s="7"/>
      <c r="BU31" s="7">
        <f t="shared" si="12"/>
        <v>1.578762306610408</v>
      </c>
      <c r="BV31" s="30"/>
      <c r="BW31" s="30"/>
      <c r="BX31" s="30"/>
      <c r="BZ31" s="5" t="s">
        <v>90</v>
      </c>
      <c r="CA31" s="5" t="s">
        <v>90</v>
      </c>
      <c r="CB31" s="5" t="s">
        <v>90</v>
      </c>
      <c r="CD31" s="21"/>
      <c r="CJ31" s="5" t="s">
        <v>91</v>
      </c>
      <c r="CL31" t="s">
        <v>90</v>
      </c>
      <c r="CN31" s="5" t="s">
        <v>97</v>
      </c>
      <c r="CP31" t="s">
        <v>90</v>
      </c>
    </row>
    <row r="32" spans="1:94" x14ac:dyDescent="0.35">
      <c r="A32" s="3" t="s">
        <v>14</v>
      </c>
      <c r="B32" s="3" t="s">
        <v>160</v>
      </c>
      <c r="C32" s="3" t="s">
        <v>142</v>
      </c>
      <c r="D32" s="3" t="s">
        <v>83</v>
      </c>
      <c r="E32" s="27" t="s">
        <v>107</v>
      </c>
      <c r="F32" s="3" t="s">
        <v>2</v>
      </c>
      <c r="G32" s="5"/>
      <c r="H32" s="14">
        <v>62.730000000000004</v>
      </c>
      <c r="I32" s="7">
        <v>81.44</v>
      </c>
      <c r="J32" s="3">
        <v>42.219705322800287</v>
      </c>
      <c r="K32" s="4">
        <f t="shared" si="0"/>
        <v>0.5184148492485301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1">
        <v>66</v>
      </c>
      <c r="S32" s="31">
        <v>176</v>
      </c>
      <c r="T32" s="31">
        <f t="shared" si="6"/>
        <v>242</v>
      </c>
      <c r="U32" s="15"/>
      <c r="V32" s="7">
        <v>63.39</v>
      </c>
      <c r="W32" s="7">
        <v>63.379999999999995</v>
      </c>
      <c r="X32" s="3">
        <v>20.38111859595562</v>
      </c>
      <c r="Y32" s="4">
        <f t="shared" si="7"/>
        <v>0.32157018927036324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30"/>
      <c r="AG32" s="30"/>
      <c r="AH32" s="30"/>
      <c r="AJ32" s="3">
        <v>59.099999999999994</v>
      </c>
      <c r="AK32" s="3">
        <v>59.099999999999994</v>
      </c>
      <c r="AL32" s="3">
        <v>16.101118595955619</v>
      </c>
      <c r="AM32" s="4">
        <f t="shared" si="8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30"/>
      <c r="AU32" s="30"/>
      <c r="AV32" s="30"/>
      <c r="AX32" s="17">
        <v>60.75</v>
      </c>
      <c r="AY32" s="17">
        <v>60.75</v>
      </c>
      <c r="AZ32" s="17">
        <v>17.751118595955624</v>
      </c>
      <c r="BA32" s="4">
        <f t="shared" si="9"/>
        <v>0.29219948306099791</v>
      </c>
      <c r="BB32" s="3">
        <v>96744.027529400701</v>
      </c>
      <c r="BC32" s="17">
        <f t="shared" si="10"/>
        <v>14.333333333333334</v>
      </c>
      <c r="BD32" s="17"/>
      <c r="BE32" s="17"/>
      <c r="BF32" s="3"/>
      <c r="BG32" s="7">
        <v>1.5576923076923077</v>
      </c>
      <c r="BH32" s="30"/>
      <c r="BI32" s="30"/>
      <c r="BJ32" s="30"/>
      <c r="BL32" s="17">
        <f t="shared" si="1"/>
        <v>245.97000000000003</v>
      </c>
      <c r="BM32" s="17">
        <f t="shared" si="2"/>
        <v>264.66999999999996</v>
      </c>
      <c r="BN32" s="17">
        <f t="shared" si="3"/>
        <v>96.45306111066715</v>
      </c>
      <c r="BO32" s="4">
        <f t="shared" si="11"/>
        <v>0.36442763105250753</v>
      </c>
      <c r="BP32" s="3">
        <f t="shared" si="4"/>
        <v>94545.29963100524</v>
      </c>
      <c r="BQ32" s="7">
        <f t="shared" si="5"/>
        <v>14.333333333333334</v>
      </c>
      <c r="BR32" s="3"/>
      <c r="BS32" s="3"/>
      <c r="BT32" s="7"/>
      <c r="BU32" s="7">
        <f t="shared" si="12"/>
        <v>1.7021794871794871</v>
      </c>
      <c r="BV32" s="30"/>
      <c r="BW32" s="30"/>
      <c r="BX32" s="30"/>
      <c r="BZ32" s="5" t="s">
        <v>90</v>
      </c>
      <c r="CA32" s="5" t="s">
        <v>90</v>
      </c>
      <c r="CB32" s="5" t="s">
        <v>90</v>
      </c>
      <c r="CD32" s="21">
        <v>12.92</v>
      </c>
      <c r="CF32">
        <v>25.14</v>
      </c>
      <c r="CJ32" s="5" t="s">
        <v>91</v>
      </c>
      <c r="CL32" t="s">
        <v>91</v>
      </c>
      <c r="CN32" s="5" t="s">
        <v>96</v>
      </c>
      <c r="CP32" t="s">
        <v>91</v>
      </c>
    </row>
    <row r="33" spans="1:94" x14ac:dyDescent="0.35">
      <c r="A33" s="3" t="s">
        <v>15</v>
      </c>
      <c r="B33" s="3" t="s">
        <v>160</v>
      </c>
      <c r="C33" s="3" t="s">
        <v>142</v>
      </c>
      <c r="D33" s="3" t="s">
        <v>83</v>
      </c>
      <c r="E33" s="25" t="s">
        <v>107</v>
      </c>
      <c r="F33" s="3" t="s">
        <v>2</v>
      </c>
      <c r="G33" s="5"/>
      <c r="H33" s="14">
        <v>3.5</v>
      </c>
      <c r="I33" s="7">
        <v>0</v>
      </c>
      <c r="J33" s="3">
        <v>-3.3162236856532989</v>
      </c>
      <c r="K33" s="4">
        <f t="shared" si="0"/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1">
        <v>0</v>
      </c>
      <c r="S33" s="31">
        <v>0</v>
      </c>
      <c r="T33" s="31">
        <f t="shared" si="6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7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30"/>
      <c r="AG33" s="30"/>
      <c r="AH33" s="30"/>
      <c r="AJ33" s="3">
        <v>3.5</v>
      </c>
      <c r="AK33" s="3">
        <v>3.5</v>
      </c>
      <c r="AL33" s="3">
        <v>-4.3127468494502441E-2</v>
      </c>
      <c r="AM33" s="4">
        <f t="shared" si="8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30"/>
      <c r="AU33" s="30"/>
      <c r="AV33" s="30"/>
      <c r="AX33" s="17">
        <v>3</v>
      </c>
      <c r="AY33" s="17">
        <v>3</v>
      </c>
      <c r="AZ33" s="17">
        <v>-0.54312746849450244</v>
      </c>
      <c r="BA33" s="4">
        <f t="shared" si="9"/>
        <v>-0.18104248949816748</v>
      </c>
      <c r="BB33" s="3">
        <v>134464.82990365717</v>
      </c>
      <c r="BC33" s="17">
        <f t="shared" si="10"/>
        <v>1</v>
      </c>
      <c r="BD33" s="17"/>
      <c r="BE33" s="17"/>
      <c r="BF33" s="3"/>
      <c r="BG33" s="7">
        <v>1</v>
      </c>
      <c r="BH33" s="30"/>
      <c r="BI33" s="30"/>
      <c r="BJ33" s="30"/>
      <c r="BL33" s="17">
        <f t="shared" si="1"/>
        <v>13.5</v>
      </c>
      <c r="BM33" s="17">
        <f t="shared" si="2"/>
        <v>6.5</v>
      </c>
      <c r="BN33" s="17">
        <f t="shared" si="3"/>
        <v>-7.4456060911368063</v>
      </c>
      <c r="BO33" s="4">
        <f t="shared" si="11"/>
        <v>-1.1454778601748932</v>
      </c>
      <c r="BP33" s="3">
        <f t="shared" si="4"/>
        <v>131408.81104221041</v>
      </c>
      <c r="BQ33" s="7">
        <f t="shared" si="5"/>
        <v>1</v>
      </c>
      <c r="BR33" s="3"/>
      <c r="BS33" s="3"/>
      <c r="BT33" s="7"/>
      <c r="BU33" s="7">
        <f t="shared" si="12"/>
        <v>0.83333333333333337</v>
      </c>
      <c r="BV33" s="30"/>
      <c r="BW33" s="30"/>
      <c r="BX33" s="30"/>
      <c r="BZ33" s="5" t="s">
        <v>90</v>
      </c>
      <c r="CA33" s="5" t="s">
        <v>90</v>
      </c>
      <c r="CB33" s="5" t="s">
        <v>90</v>
      </c>
      <c r="CD33" s="21"/>
      <c r="CH33">
        <f>417121/100000</f>
        <v>4.1712100000000003</v>
      </c>
      <c r="CJ33" s="5" t="s">
        <v>91</v>
      </c>
      <c r="CL33" t="s">
        <v>91</v>
      </c>
      <c r="CN33" s="5" t="s">
        <v>105</v>
      </c>
      <c r="CP33" t="s">
        <v>91</v>
      </c>
    </row>
    <row r="34" spans="1:94" x14ac:dyDescent="0.35">
      <c r="A34" s="3" t="s">
        <v>16</v>
      </c>
      <c r="B34" s="3" t="s">
        <v>160</v>
      </c>
      <c r="C34" s="3" t="s">
        <v>142</v>
      </c>
      <c r="D34" s="3" t="s">
        <v>83</v>
      </c>
      <c r="E34" s="25" t="s">
        <v>107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 t="shared" si="0"/>
        <v>1</v>
      </c>
      <c r="L34" s="3">
        <v>0</v>
      </c>
      <c r="M34" s="17">
        <v>0</v>
      </c>
      <c r="N34" s="4"/>
      <c r="O34" s="4">
        <v>0</v>
      </c>
      <c r="P34" s="6" t="s">
        <v>123</v>
      </c>
      <c r="Q34" s="7">
        <v>0</v>
      </c>
      <c r="R34" s="31">
        <v>0</v>
      </c>
      <c r="S34" s="31">
        <v>0</v>
      </c>
      <c r="T34" s="31">
        <f t="shared" si="6"/>
        <v>0</v>
      </c>
      <c r="U34" s="15"/>
      <c r="V34" s="7">
        <v>0</v>
      </c>
      <c r="W34" s="7">
        <v>0</v>
      </c>
      <c r="X34" s="3">
        <v>0</v>
      </c>
      <c r="Y34" s="4">
        <f t="shared" si="7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30"/>
      <c r="AG34" s="30"/>
      <c r="AH34" s="30"/>
      <c r="AJ34" s="3">
        <v>0</v>
      </c>
      <c r="AK34" s="3">
        <v>0</v>
      </c>
      <c r="AL34" s="3">
        <v>0</v>
      </c>
      <c r="AM34" s="4">
        <f t="shared" si="8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30"/>
      <c r="AU34" s="30"/>
      <c r="AV34" s="30"/>
      <c r="AX34" s="17">
        <v>0</v>
      </c>
      <c r="AY34" s="17">
        <v>0</v>
      </c>
      <c r="AZ34" s="17">
        <v>0</v>
      </c>
      <c r="BA34" s="4">
        <f t="shared" si="9"/>
        <v>0</v>
      </c>
      <c r="BB34" s="3">
        <v>0</v>
      </c>
      <c r="BC34" s="17">
        <f t="shared" si="10"/>
        <v>0</v>
      </c>
      <c r="BD34" s="17"/>
      <c r="BE34" s="17"/>
      <c r="BF34" s="3"/>
      <c r="BG34" s="7">
        <v>0</v>
      </c>
      <c r="BH34" s="30"/>
      <c r="BI34" s="30"/>
      <c r="BJ34" s="30"/>
      <c r="BL34" s="17">
        <f t="shared" si="1"/>
        <v>0</v>
      </c>
      <c r="BM34" s="17">
        <f t="shared" si="2"/>
        <v>3.2240000000000002</v>
      </c>
      <c r="BN34" s="17">
        <f t="shared" si="3"/>
        <v>3.2240000000000002</v>
      </c>
      <c r="BO34" s="4">
        <f t="shared" si="11"/>
        <v>1</v>
      </c>
      <c r="BP34" s="3">
        <f t="shared" si="4"/>
        <v>0</v>
      </c>
      <c r="BQ34" s="7">
        <f t="shared" si="5"/>
        <v>0</v>
      </c>
      <c r="BR34" s="3"/>
      <c r="BS34" s="3"/>
      <c r="BT34" s="7"/>
      <c r="BU34" s="7">
        <f t="shared" si="12"/>
        <v>0</v>
      </c>
      <c r="BV34" s="30"/>
      <c r="BW34" s="30"/>
      <c r="BX34" s="30"/>
      <c r="BZ34" s="5" t="s">
        <v>90</v>
      </c>
      <c r="CA34" s="5" t="s">
        <v>90</v>
      </c>
      <c r="CB34" s="5" t="s">
        <v>90</v>
      </c>
      <c r="CD34" s="21"/>
      <c r="CJ34" s="5" t="s">
        <v>91</v>
      </c>
      <c r="CL34" t="s">
        <v>91</v>
      </c>
      <c r="CN34" s="5" t="s">
        <v>105</v>
      </c>
      <c r="CP34" t="s">
        <v>91</v>
      </c>
    </row>
    <row r="35" spans="1:94" x14ac:dyDescent="0.35">
      <c r="A35" s="3" t="s">
        <v>49</v>
      </c>
      <c r="B35" s="3" t="s">
        <v>160</v>
      </c>
      <c r="C35" s="3" t="s">
        <v>142</v>
      </c>
      <c r="D35" s="3" t="s">
        <v>83</v>
      </c>
      <c r="E35" s="25" t="s">
        <v>107</v>
      </c>
      <c r="F35" s="3" t="s">
        <v>2</v>
      </c>
      <c r="G35" s="5"/>
      <c r="H35" s="14">
        <v>8.6</v>
      </c>
      <c r="I35" s="7">
        <v>8.51</v>
      </c>
      <c r="J35" s="3">
        <v>2.6417004315868278</v>
      </c>
      <c r="K35" s="4">
        <f t="shared" ref="K35:K55" si="13">IFERROR(J35/I35,0)</f>
        <v>0.31042308244263545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1">
        <v>5</v>
      </c>
      <c r="S35" s="31">
        <v>5</v>
      </c>
      <c r="T35" s="31">
        <f t="shared" si="6"/>
        <v>10</v>
      </c>
      <c r="U35" s="15"/>
      <c r="V35" s="7">
        <v>9.1</v>
      </c>
      <c r="W35" s="7">
        <v>9.1</v>
      </c>
      <c r="X35" s="3">
        <v>1.7797095810564079</v>
      </c>
      <c r="Y35" s="4">
        <f t="shared" si="7"/>
        <v>0.1955724814347701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30"/>
      <c r="AG35" s="30"/>
      <c r="AH35" s="30"/>
      <c r="AJ35" s="3">
        <v>11</v>
      </c>
      <c r="AK35" s="3">
        <v>11</v>
      </c>
      <c r="AL35" s="3">
        <v>3.6797095810564082</v>
      </c>
      <c r="AM35" s="4">
        <f t="shared" si="8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30"/>
      <c r="AU35" s="30"/>
      <c r="AV35" s="30"/>
      <c r="AX35" s="17">
        <v>12.399999999999999</v>
      </c>
      <c r="AY35" s="17">
        <v>12.399999999999999</v>
      </c>
      <c r="AZ35" s="17">
        <v>5.0797095810564068</v>
      </c>
      <c r="BA35" s="4">
        <f t="shared" si="9"/>
        <v>0.40965399847229089</v>
      </c>
      <c r="BB35" s="3">
        <v>104721.45808715979</v>
      </c>
      <c r="BC35" s="17">
        <f t="shared" si="10"/>
        <v>2.3333333333333335</v>
      </c>
      <c r="BD35" s="17"/>
      <c r="BE35" s="17"/>
      <c r="BF35" s="3"/>
      <c r="BG35" s="7">
        <v>1.9682539682539677</v>
      </c>
      <c r="BH35" s="30"/>
      <c r="BI35" s="30"/>
      <c r="BJ35" s="30"/>
      <c r="BL35" s="17">
        <f t="shared" ref="BL35:BL55" si="14">V35+AJ35+AX35+H35</f>
        <v>41.1</v>
      </c>
      <c r="BM35" s="17">
        <f t="shared" ref="BM35:BM55" si="15">W35+AK35+AY35+I35</f>
        <v>41.01</v>
      </c>
      <c r="BN35" s="17">
        <f t="shared" ref="BN35:BN55" si="16">X35+AL35+AZ35+J35</f>
        <v>13.180829174756049</v>
      </c>
      <c r="BO35" s="4">
        <f t="shared" si="11"/>
        <v>0.32140524688505362</v>
      </c>
      <c r="BP35" s="3">
        <f t="shared" ref="BP35:BP63" si="17">AVERAGE(L35,Z35,AN35,BB35)</f>
        <v>102341.42494881524</v>
      </c>
      <c r="BQ35" s="7">
        <f t="shared" ref="BQ35:BQ60" si="18">AVERAGE(M35,AA35,AO35,BC35)</f>
        <v>2.3333333333333335</v>
      </c>
      <c r="BR35" s="3"/>
      <c r="BS35" s="3"/>
      <c r="BT35" s="7"/>
      <c r="BU35" s="7">
        <f t="shared" si="12"/>
        <v>1.5940476190476187</v>
      </c>
      <c r="BV35" s="30"/>
      <c r="BW35" s="30"/>
      <c r="BX35" s="30"/>
      <c r="BZ35" s="5" t="s">
        <v>90</v>
      </c>
      <c r="CA35" s="5" t="s">
        <v>90</v>
      </c>
      <c r="CB35" s="5" t="s">
        <v>90</v>
      </c>
      <c r="CD35" s="21"/>
      <c r="CJ35" s="5" t="s">
        <v>91</v>
      </c>
      <c r="CL35" t="s">
        <v>90</v>
      </c>
      <c r="CN35" s="5" t="s">
        <v>97</v>
      </c>
      <c r="CP35" t="s">
        <v>91</v>
      </c>
    </row>
    <row r="36" spans="1:94" x14ac:dyDescent="0.35">
      <c r="A36" s="3" t="s">
        <v>17</v>
      </c>
      <c r="B36" s="3" t="s">
        <v>160</v>
      </c>
      <c r="C36" s="3" t="s">
        <v>142</v>
      </c>
      <c r="D36" s="3" t="s">
        <v>83</v>
      </c>
      <c r="E36" s="25" t="s">
        <v>107</v>
      </c>
      <c r="F36" s="3" t="s">
        <v>2</v>
      </c>
      <c r="G36" s="5"/>
      <c r="H36" s="14">
        <v>23.61</v>
      </c>
      <c r="I36" s="7">
        <v>13.159104999999998</v>
      </c>
      <c r="J36" s="3">
        <v>1.7184729613520968</v>
      </c>
      <c r="K36" s="4">
        <f t="shared" si="13"/>
        <v>0.13059193321674209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1">
        <v>17</v>
      </c>
      <c r="S36" s="31">
        <v>4</v>
      </c>
      <c r="T36" s="31">
        <f t="shared" si="6"/>
        <v>21</v>
      </c>
      <c r="U36" s="15"/>
      <c r="V36" s="7">
        <v>24.713999999999999</v>
      </c>
      <c r="W36" s="7">
        <v>19.68</v>
      </c>
      <c r="X36" s="3">
        <v>7.6712019897435795</v>
      </c>
      <c r="Y36" s="4">
        <f t="shared" si="7"/>
        <v>0.38979684907233636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30"/>
      <c r="AG36" s="30"/>
      <c r="AH36" s="30"/>
      <c r="AJ36" s="3">
        <v>25.78</v>
      </c>
      <c r="AK36" s="3">
        <v>25.78</v>
      </c>
      <c r="AL36" s="3">
        <v>13.771201989743581</v>
      </c>
      <c r="AM36" s="4">
        <f t="shared" si="8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30"/>
      <c r="AU36" s="30"/>
      <c r="AV36" s="30"/>
      <c r="AX36" s="17">
        <v>26.215</v>
      </c>
      <c r="AY36" s="17">
        <v>26.215</v>
      </c>
      <c r="AZ36" s="17">
        <v>14.20620198974358</v>
      </c>
      <c r="BA36" s="4">
        <f t="shared" si="9"/>
        <v>0.54191119548897881</v>
      </c>
      <c r="BB36" s="3">
        <v>90583.505565571017</v>
      </c>
      <c r="BC36" s="17">
        <f t="shared" si="10"/>
        <v>5.333333333333333</v>
      </c>
      <c r="BD36" s="17"/>
      <c r="BE36" s="17"/>
      <c r="BF36" s="3"/>
      <c r="BG36" s="7">
        <v>2.1845833333333333</v>
      </c>
      <c r="BH36" s="30"/>
      <c r="BI36" s="30"/>
      <c r="BJ36" s="30"/>
      <c r="BL36" s="17">
        <f t="shared" si="14"/>
        <v>100.319</v>
      </c>
      <c r="BM36" s="17">
        <f t="shared" si="15"/>
        <v>84.834104999999994</v>
      </c>
      <c r="BN36" s="17">
        <f t="shared" si="16"/>
        <v>37.367078930582842</v>
      </c>
      <c r="BO36" s="4">
        <f t="shared" si="11"/>
        <v>0.44047236580833671</v>
      </c>
      <c r="BP36" s="3">
        <f t="shared" si="17"/>
        <v>88524.789529989852</v>
      </c>
      <c r="BQ36" s="7">
        <f t="shared" si="18"/>
        <v>5.333333333333333</v>
      </c>
      <c r="BR36" s="3"/>
      <c r="BS36" s="3"/>
      <c r="BT36" s="7"/>
      <c r="BU36" s="7">
        <f t="shared" si="12"/>
        <v>2.0078286458333334</v>
      </c>
      <c r="BV36" s="30"/>
      <c r="BW36" s="30"/>
      <c r="BX36" s="30"/>
      <c r="BZ36" s="5" t="s">
        <v>90</v>
      </c>
      <c r="CA36" s="5" t="s">
        <v>90</v>
      </c>
      <c r="CB36" s="5" t="s">
        <v>90</v>
      </c>
      <c r="CD36" s="21"/>
      <c r="CJ36" s="5" t="s">
        <v>91</v>
      </c>
      <c r="CL36" t="s">
        <v>91</v>
      </c>
      <c r="CN36" s="5" t="s">
        <v>97</v>
      </c>
      <c r="CP36" t="s">
        <v>91</v>
      </c>
    </row>
    <row r="37" spans="1:94" x14ac:dyDescent="0.35">
      <c r="A37" s="36" t="s">
        <v>18</v>
      </c>
      <c r="B37" s="3" t="s">
        <v>160</v>
      </c>
      <c r="C37" s="3" t="s">
        <v>142</v>
      </c>
      <c r="D37" s="3" t="s">
        <v>83</v>
      </c>
      <c r="E37" s="25" t="s">
        <v>107</v>
      </c>
      <c r="F37" s="3" t="s">
        <v>2</v>
      </c>
      <c r="G37" s="5"/>
      <c r="H37" s="14">
        <v>112</v>
      </c>
      <c r="I37" s="7">
        <v>97.615909950000002</v>
      </c>
      <c r="J37" s="3">
        <v>56.478983764858491</v>
      </c>
      <c r="K37" s="4">
        <f t="shared" si="13"/>
        <v>0.57858379636872392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1">
        <v>226</v>
      </c>
      <c r="S37" s="31">
        <v>0</v>
      </c>
      <c r="T37" s="31">
        <f t="shared" si="6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7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30"/>
      <c r="AG37" s="30"/>
      <c r="AH37" s="30"/>
      <c r="AJ37" s="3">
        <v>104</v>
      </c>
      <c r="AK37" s="3">
        <v>104</v>
      </c>
      <c r="AL37" s="3">
        <v>63.501660941727387</v>
      </c>
      <c r="AM37" s="4">
        <f t="shared" si="8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30"/>
      <c r="AU37" s="30"/>
      <c r="AV37" s="30"/>
      <c r="AX37" s="17">
        <v>111</v>
      </c>
      <c r="AY37" s="17">
        <v>111</v>
      </c>
      <c r="AZ37" s="17">
        <v>70.50166094172738</v>
      </c>
      <c r="BA37" s="4">
        <f t="shared" si="9"/>
        <v>0.63515009857412053</v>
      </c>
      <c r="BB37" s="3">
        <v>103827.71479404689</v>
      </c>
      <c r="BC37" s="17">
        <f t="shared" si="10"/>
        <v>40.666666666666664</v>
      </c>
      <c r="BD37" s="17"/>
      <c r="BE37" s="17"/>
      <c r="BF37" s="3"/>
      <c r="BG37" s="7">
        <v>2.1764705882352939</v>
      </c>
      <c r="BH37" s="30"/>
      <c r="BI37" s="30"/>
      <c r="BJ37" s="30"/>
      <c r="BL37" s="17">
        <f t="shared" si="14"/>
        <v>426</v>
      </c>
      <c r="BM37" s="17">
        <f t="shared" si="15"/>
        <v>375.86590995</v>
      </c>
      <c r="BN37" s="17">
        <f t="shared" si="16"/>
        <v>213.23396659004064</v>
      </c>
      <c r="BO37" s="4">
        <f t="shared" si="11"/>
        <v>0.56731393016835796</v>
      </c>
      <c r="BP37" s="3">
        <f t="shared" si="17"/>
        <v>101467.9940032731</v>
      </c>
      <c r="BQ37" s="7">
        <f t="shared" si="18"/>
        <v>40.666666666666664</v>
      </c>
      <c r="BR37" s="3"/>
      <c r="BS37" s="3"/>
      <c r="BT37" s="7"/>
      <c r="BU37" s="7">
        <f t="shared" si="12"/>
        <v>1.9474999999999998</v>
      </c>
      <c r="BV37" s="30"/>
      <c r="BW37" s="30"/>
      <c r="BX37" s="30"/>
      <c r="BZ37" s="5" t="s">
        <v>90</v>
      </c>
      <c r="CA37" s="5" t="s">
        <v>90</v>
      </c>
      <c r="CB37" s="5" t="s">
        <v>90</v>
      </c>
      <c r="CD37" s="21"/>
      <c r="CJ37" s="5" t="s">
        <v>91</v>
      </c>
      <c r="CL37" t="s">
        <v>91</v>
      </c>
      <c r="CN37" s="5" t="s">
        <v>97</v>
      </c>
      <c r="CP37" t="s">
        <v>90</v>
      </c>
    </row>
    <row r="38" spans="1:94" x14ac:dyDescent="0.35">
      <c r="A38" s="3" t="s">
        <v>50</v>
      </c>
      <c r="B38" s="3" t="s">
        <v>161</v>
      </c>
      <c r="C38" s="3" t="s">
        <v>148</v>
      </c>
      <c r="D38" s="3" t="s">
        <v>150</v>
      </c>
      <c r="E38" s="2" t="s">
        <v>107</v>
      </c>
      <c r="F38" s="3" t="s">
        <v>70</v>
      </c>
      <c r="G38" s="5"/>
      <c r="H38" s="14">
        <v>46</v>
      </c>
      <c r="I38" s="7">
        <v>38.404499999999999</v>
      </c>
      <c r="J38" s="3">
        <v>-7.1068989156946571</v>
      </c>
      <c r="K38" s="4">
        <f t="shared" si="13"/>
        <v>-0.18505380660325371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1">
        <v>24</v>
      </c>
      <c r="S38" s="31">
        <v>44</v>
      </c>
      <c r="T38" s="31">
        <f t="shared" si="6"/>
        <v>68</v>
      </c>
      <c r="U38" s="15"/>
      <c r="V38" s="7">
        <v>64</v>
      </c>
      <c r="W38" s="7">
        <v>25</v>
      </c>
      <c r="X38" s="3">
        <v>-19.859391554768017</v>
      </c>
      <c r="Y38" s="4">
        <f t="shared" si="7"/>
        <v>-0.79437566219072064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30"/>
      <c r="AG38" s="30"/>
      <c r="AH38" s="30"/>
      <c r="AJ38" s="3">
        <v>60</v>
      </c>
      <c r="AK38" s="3">
        <v>24</v>
      </c>
      <c r="AL38" s="3">
        <v>-20.859391554768017</v>
      </c>
      <c r="AM38" s="4">
        <f t="shared" si="8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30"/>
      <c r="AU38" s="30"/>
      <c r="AV38" s="30"/>
      <c r="AX38" s="17">
        <v>62</v>
      </c>
      <c r="AY38" s="17">
        <v>39</v>
      </c>
      <c r="AZ38" s="17">
        <v>-5.8593915547680169</v>
      </c>
      <c r="BA38" s="4">
        <f t="shared" si="9"/>
        <v>-0.15024080909661583</v>
      </c>
      <c r="BB38" s="3">
        <v>110681.37839052675</v>
      </c>
      <c r="BC38" s="17">
        <f t="shared" si="10"/>
        <v>11.666666666666666</v>
      </c>
      <c r="BD38" s="17"/>
      <c r="BE38" s="17"/>
      <c r="BF38" s="3"/>
      <c r="BG38" s="7">
        <v>2.9523809523809526</v>
      </c>
      <c r="BH38" s="30"/>
      <c r="BI38" s="30"/>
      <c r="BJ38" s="30"/>
      <c r="BL38" s="17">
        <f t="shared" si="14"/>
        <v>232</v>
      </c>
      <c r="BM38" s="17">
        <f t="shared" si="15"/>
        <v>126.4045</v>
      </c>
      <c r="BN38" s="17">
        <f t="shared" si="16"/>
        <v>-53.685073579998708</v>
      </c>
      <c r="BO38" s="4">
        <f t="shared" si="11"/>
        <v>-0.42470856322360917</v>
      </c>
      <c r="BP38" s="3">
        <f t="shared" si="17"/>
        <v>108165.89251801478</v>
      </c>
      <c r="BQ38" s="7">
        <f t="shared" si="18"/>
        <v>11.666666666666666</v>
      </c>
      <c r="BR38" s="3"/>
      <c r="BS38" s="3"/>
      <c r="BT38" s="7"/>
      <c r="BU38" s="7">
        <f t="shared" si="12"/>
        <v>2.7619047619047619</v>
      </c>
      <c r="BV38" s="30"/>
      <c r="BW38" s="30"/>
      <c r="BX38" s="30"/>
      <c r="BZ38" s="5" t="s">
        <v>90</v>
      </c>
      <c r="CA38" s="5" t="s">
        <v>90</v>
      </c>
      <c r="CB38" s="5" t="s">
        <v>90</v>
      </c>
      <c r="CD38" s="21"/>
      <c r="CF38">
        <v>12.259040000000001</v>
      </c>
      <c r="CJ38" s="5" t="s">
        <v>91</v>
      </c>
      <c r="CL38" t="s">
        <v>91</v>
      </c>
      <c r="CN38" s="5" t="s">
        <v>97</v>
      </c>
      <c r="CP38" t="s">
        <v>91</v>
      </c>
    </row>
    <row r="39" spans="1:94" x14ac:dyDescent="0.35">
      <c r="A39" s="3" t="s">
        <v>6</v>
      </c>
      <c r="B39" s="3" t="s">
        <v>160</v>
      </c>
      <c r="C39" s="3" t="s">
        <v>142</v>
      </c>
      <c r="D39" s="3" t="s">
        <v>83</v>
      </c>
      <c r="E39" s="25" t="s">
        <v>107</v>
      </c>
      <c r="F39" s="3" t="s">
        <v>2</v>
      </c>
      <c r="G39" s="5"/>
      <c r="H39" s="14">
        <v>15.5</v>
      </c>
      <c r="I39" s="7">
        <v>17.57403</v>
      </c>
      <c r="J39" s="3">
        <v>7.5219834746056966</v>
      </c>
      <c r="K39" s="4">
        <f t="shared" si="13"/>
        <v>0.4280169929495794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1">
        <v>13</v>
      </c>
      <c r="S39" s="31">
        <v>5</v>
      </c>
      <c r="T39" s="31">
        <f t="shared" si="6"/>
        <v>18</v>
      </c>
      <c r="U39" s="15"/>
      <c r="V39" s="7">
        <v>18</v>
      </c>
      <c r="W39" s="7">
        <v>8.6300000000000008</v>
      </c>
      <c r="X39" s="3">
        <v>-2.0652687961694376</v>
      </c>
      <c r="Y39" s="4">
        <f t="shared" si="7"/>
        <v>-0.23931272261523029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30"/>
      <c r="AG39" s="30"/>
      <c r="AH39" s="30"/>
      <c r="AJ39" s="3">
        <v>17</v>
      </c>
      <c r="AK39" s="3">
        <v>17</v>
      </c>
      <c r="AL39" s="3">
        <v>6.3047312038305616</v>
      </c>
      <c r="AM39" s="4">
        <f t="shared" si="8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30"/>
      <c r="AU39" s="30"/>
      <c r="AV39" s="30"/>
      <c r="AX39" s="17">
        <v>15</v>
      </c>
      <c r="AY39" s="17">
        <v>15</v>
      </c>
      <c r="AZ39" s="17">
        <v>4.3047312038305616</v>
      </c>
      <c r="BA39" s="4">
        <f t="shared" si="9"/>
        <v>0.28698208025537075</v>
      </c>
      <c r="BB39" s="3">
        <v>102820.3358502386</v>
      </c>
      <c r="BC39" s="17">
        <f t="shared" si="10"/>
        <v>3</v>
      </c>
      <c r="BD39" s="17"/>
      <c r="BE39" s="17"/>
      <c r="BF39" s="3"/>
      <c r="BG39" s="7">
        <v>2.5</v>
      </c>
      <c r="BH39" s="30"/>
      <c r="BI39" s="30"/>
      <c r="BJ39" s="30"/>
      <c r="BL39" s="17">
        <f t="shared" si="14"/>
        <v>65.5</v>
      </c>
      <c r="BM39" s="17">
        <f t="shared" si="15"/>
        <v>58.204030000000003</v>
      </c>
      <c r="BN39" s="17">
        <f t="shared" si="16"/>
        <v>16.066177086097383</v>
      </c>
      <c r="BO39" s="4">
        <f t="shared" si="11"/>
        <v>0.27603203912336283</v>
      </c>
      <c r="BP39" s="3">
        <f t="shared" si="17"/>
        <v>100483.51003546044</v>
      </c>
      <c r="BQ39" s="7">
        <f t="shared" si="18"/>
        <v>3</v>
      </c>
      <c r="BR39" s="3"/>
      <c r="BS39" s="3"/>
      <c r="BT39" s="7"/>
      <c r="BU39" s="7">
        <f t="shared" si="12"/>
        <v>2.7340627500000001</v>
      </c>
      <c r="BV39" s="30"/>
      <c r="BW39" s="30"/>
      <c r="BX39" s="30"/>
      <c r="BZ39" s="5" t="s">
        <v>90</v>
      </c>
      <c r="CA39" s="5" t="s">
        <v>90</v>
      </c>
      <c r="CB39" s="5" t="s">
        <v>90</v>
      </c>
      <c r="CD39" s="21"/>
      <c r="CJ39" s="5" t="s">
        <v>91</v>
      </c>
      <c r="CL39" t="s">
        <v>91</v>
      </c>
      <c r="CN39" s="5" t="s">
        <v>105</v>
      </c>
      <c r="CP39" t="s">
        <v>91</v>
      </c>
    </row>
    <row r="40" spans="1:94" x14ac:dyDescent="0.35">
      <c r="A40" s="3" t="s">
        <v>51</v>
      </c>
      <c r="B40" s="3" t="s">
        <v>160</v>
      </c>
      <c r="C40" s="3" t="s">
        <v>142</v>
      </c>
      <c r="D40" s="3" t="s">
        <v>127</v>
      </c>
      <c r="E40" s="25" t="s">
        <v>107</v>
      </c>
      <c r="F40" s="3" t="s">
        <v>85</v>
      </c>
      <c r="G40" s="5"/>
      <c r="H40" s="14">
        <v>12</v>
      </c>
      <c r="I40" s="7">
        <v>16.8667604</v>
      </c>
      <c r="J40" s="3">
        <v>6.2079469831550496</v>
      </c>
      <c r="K40" s="4">
        <f t="shared" si="13"/>
        <v>0.36805805240199235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1">
        <v>14</v>
      </c>
      <c r="S40" s="31">
        <v>0</v>
      </c>
      <c r="T40" s="31">
        <f t="shared" si="6"/>
        <v>14</v>
      </c>
      <c r="U40" s="15"/>
      <c r="V40" s="7">
        <v>16</v>
      </c>
      <c r="W40" s="7">
        <v>16</v>
      </c>
      <c r="X40" s="3">
        <v>3.0799649275377785</v>
      </c>
      <c r="Y40" s="4">
        <f t="shared" si="7"/>
        <v>0.19249780797111116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30"/>
      <c r="AG40" s="30"/>
      <c r="AH40" s="30"/>
      <c r="AJ40" s="3">
        <v>15</v>
      </c>
      <c r="AK40" s="3">
        <v>15</v>
      </c>
      <c r="AL40" s="3">
        <v>2.0799649275377785</v>
      </c>
      <c r="AM40" s="4">
        <f t="shared" si="8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30"/>
      <c r="AU40" s="30"/>
      <c r="AV40" s="30"/>
      <c r="AX40" s="17">
        <v>15</v>
      </c>
      <c r="AY40" s="17">
        <v>15</v>
      </c>
      <c r="AZ40" s="17">
        <v>2.0799649275377785</v>
      </c>
      <c r="BA40" s="4">
        <f t="shared" si="9"/>
        <v>0.13866432850251856</v>
      </c>
      <c r="BB40" s="3">
        <v>113178.34248072768</v>
      </c>
      <c r="BC40" s="17">
        <f t="shared" si="10"/>
        <v>4</v>
      </c>
      <c r="BD40" s="17"/>
      <c r="BE40" s="17"/>
      <c r="BF40" s="3"/>
      <c r="BG40" s="7">
        <v>1.6129032258064515</v>
      </c>
      <c r="BH40" s="30"/>
      <c r="BI40" s="30"/>
      <c r="BJ40" s="30"/>
      <c r="BL40" s="17">
        <f t="shared" si="14"/>
        <v>58</v>
      </c>
      <c r="BM40" s="17">
        <f t="shared" si="15"/>
        <v>62.866760400000004</v>
      </c>
      <c r="BN40" s="17">
        <f t="shared" si="16"/>
        <v>13.447841765768384</v>
      </c>
      <c r="BO40" s="4">
        <f t="shared" si="11"/>
        <v>0.21391020755967541</v>
      </c>
      <c r="BP40" s="3">
        <f t="shared" si="17"/>
        <v>110606.10742434752</v>
      </c>
      <c r="BQ40" s="7">
        <f t="shared" si="18"/>
        <v>4</v>
      </c>
      <c r="BR40" s="3"/>
      <c r="BS40" s="3"/>
      <c r="BT40" s="7"/>
      <c r="BU40" s="7">
        <f t="shared" si="12"/>
        <v>1.8134841505376347</v>
      </c>
      <c r="BV40" s="30"/>
      <c r="BW40" s="30"/>
      <c r="BX40" s="30"/>
      <c r="BZ40" s="5" t="s">
        <v>90</v>
      </c>
      <c r="CA40" s="5" t="s">
        <v>90</v>
      </c>
      <c r="CB40" s="5" t="s">
        <v>90</v>
      </c>
      <c r="CD40" s="21"/>
      <c r="CH40">
        <f>1677628/100000</f>
        <v>16.77628</v>
      </c>
      <c r="CJ40" s="5" t="s">
        <v>91</v>
      </c>
      <c r="CL40" t="s">
        <v>90</v>
      </c>
      <c r="CN40" s="5" t="s">
        <v>105</v>
      </c>
      <c r="CP40" t="s">
        <v>91</v>
      </c>
    </row>
    <row r="41" spans="1:94" x14ac:dyDescent="0.35">
      <c r="A41" s="3" t="s">
        <v>64</v>
      </c>
      <c r="B41" s="3" t="s">
        <v>160</v>
      </c>
      <c r="C41" s="3" t="s">
        <v>142</v>
      </c>
      <c r="D41" s="3" t="s">
        <v>83</v>
      </c>
      <c r="E41" s="26" t="s">
        <v>107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 t="shared" si="13"/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1">
        <v>0</v>
      </c>
      <c r="S41" s="31">
        <v>0</v>
      </c>
      <c r="T41" s="31">
        <f t="shared" si="6"/>
        <v>0</v>
      </c>
      <c r="U41" s="15"/>
      <c r="V41" s="7">
        <v>0</v>
      </c>
      <c r="W41" s="7">
        <v>0</v>
      </c>
      <c r="X41" s="3"/>
      <c r="Y41" s="4">
        <f t="shared" si="7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30"/>
      <c r="AG41" s="30"/>
      <c r="AH41" s="30"/>
      <c r="AJ41" s="3">
        <v>0</v>
      </c>
      <c r="AK41" s="3">
        <v>0</v>
      </c>
      <c r="AL41" s="3">
        <v>0</v>
      </c>
      <c r="AM41" s="4">
        <f t="shared" si="8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30"/>
      <c r="AU41" s="30"/>
      <c r="AV41" s="30"/>
      <c r="AX41" s="17">
        <v>0</v>
      </c>
      <c r="AY41" s="17">
        <v>0</v>
      </c>
      <c r="AZ41" s="17">
        <v>0</v>
      </c>
      <c r="BA41" s="4">
        <f t="shared" si="9"/>
        <v>0</v>
      </c>
      <c r="BB41" s="3">
        <v>0</v>
      </c>
      <c r="BC41" s="17">
        <f t="shared" si="10"/>
        <v>0</v>
      </c>
      <c r="BD41" s="17"/>
      <c r="BE41" s="17"/>
      <c r="BF41" s="3"/>
      <c r="BG41" s="7">
        <v>0</v>
      </c>
      <c r="BH41" s="30"/>
      <c r="BI41" s="30"/>
      <c r="BJ41" s="30"/>
      <c r="BL41" s="17">
        <f t="shared" si="14"/>
        <v>0</v>
      </c>
      <c r="BM41" s="17">
        <f t="shared" si="15"/>
        <v>0</v>
      </c>
      <c r="BN41" s="17">
        <f t="shared" si="16"/>
        <v>0</v>
      </c>
      <c r="BO41" s="4">
        <f t="shared" si="11"/>
        <v>0</v>
      </c>
      <c r="BP41" s="3">
        <f t="shared" si="17"/>
        <v>0</v>
      </c>
      <c r="BQ41" s="7">
        <f t="shared" si="18"/>
        <v>0</v>
      </c>
      <c r="BR41" s="3"/>
      <c r="BS41" s="3"/>
      <c r="BT41" s="7"/>
      <c r="BU41" s="7">
        <f t="shared" si="12"/>
        <v>0</v>
      </c>
      <c r="BV41" s="30"/>
      <c r="BW41" s="30"/>
      <c r="BX41" s="30"/>
      <c r="BZ41" s="5" t="s">
        <v>90</v>
      </c>
      <c r="CA41" s="5" t="s">
        <v>90</v>
      </c>
      <c r="CB41" s="5" t="s">
        <v>90</v>
      </c>
      <c r="CD41" s="21"/>
      <c r="CJ41" s="5" t="s">
        <v>91</v>
      </c>
      <c r="CL41" t="s">
        <v>91</v>
      </c>
      <c r="CN41" s="5" t="s">
        <v>157</v>
      </c>
      <c r="CP41" t="s">
        <v>91</v>
      </c>
    </row>
    <row r="42" spans="1:94" x14ac:dyDescent="0.35">
      <c r="A42" s="3" t="s">
        <v>52</v>
      </c>
      <c r="B42" s="3" t="s">
        <v>160</v>
      </c>
      <c r="C42" s="3" t="s">
        <v>142</v>
      </c>
      <c r="D42" s="3" t="s">
        <v>127</v>
      </c>
      <c r="E42" s="25" t="s">
        <v>107</v>
      </c>
      <c r="F42" s="3" t="s">
        <v>85</v>
      </c>
      <c r="G42" s="5"/>
      <c r="H42" s="14">
        <v>28.5</v>
      </c>
      <c r="I42" s="7">
        <v>30.11</v>
      </c>
      <c r="J42" s="3">
        <v>14.452180126042993</v>
      </c>
      <c r="K42" s="4">
        <f t="shared" si="13"/>
        <v>0.47997941302035846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1">
        <v>15</v>
      </c>
      <c r="S42" s="31">
        <v>14</v>
      </c>
      <c r="T42" s="31">
        <f t="shared" si="6"/>
        <v>29</v>
      </c>
      <c r="U42" s="15"/>
      <c r="V42" s="7">
        <v>28.5</v>
      </c>
      <c r="W42" s="7">
        <v>28.5</v>
      </c>
      <c r="X42" s="3">
        <v>10.290401339084465</v>
      </c>
      <c r="Y42" s="4">
        <f t="shared" si="7"/>
        <v>0.36106671365208648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30"/>
      <c r="AG42" s="30"/>
      <c r="AH42" s="30"/>
      <c r="AJ42" s="3">
        <v>33</v>
      </c>
      <c r="AK42" s="3">
        <v>33</v>
      </c>
      <c r="AL42" s="3">
        <v>14.790401339084465</v>
      </c>
      <c r="AM42" s="4">
        <f t="shared" si="8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30"/>
      <c r="AU42" s="30"/>
      <c r="AV42" s="30"/>
      <c r="AX42" s="17">
        <v>15</v>
      </c>
      <c r="AY42" s="17">
        <v>15</v>
      </c>
      <c r="AZ42" s="17">
        <v>-3.2095986609155354</v>
      </c>
      <c r="BA42" s="4">
        <f t="shared" si="9"/>
        <v>-0.21397324406103568</v>
      </c>
      <c r="BB42" s="3">
        <v>120092.31438033683</v>
      </c>
      <c r="BC42" s="17">
        <f t="shared" si="10"/>
        <v>5</v>
      </c>
      <c r="BD42" s="17"/>
      <c r="BE42" s="17"/>
      <c r="BF42" s="3"/>
      <c r="BG42" s="7">
        <v>1.5624999999999998</v>
      </c>
      <c r="BH42" s="30"/>
      <c r="BI42" s="30"/>
      <c r="BJ42" s="30"/>
      <c r="BL42" s="17">
        <f t="shared" si="14"/>
        <v>105</v>
      </c>
      <c r="BM42" s="17">
        <f t="shared" si="15"/>
        <v>106.61</v>
      </c>
      <c r="BN42" s="17">
        <f t="shared" si="16"/>
        <v>36.323384143296387</v>
      </c>
      <c r="BO42" s="4">
        <f t="shared" si="11"/>
        <v>0.34071272998120616</v>
      </c>
      <c r="BP42" s="3">
        <f t="shared" si="17"/>
        <v>117362.94359896555</v>
      </c>
      <c r="BQ42" s="7">
        <f t="shared" si="18"/>
        <v>5</v>
      </c>
      <c r="BR42" s="3"/>
      <c r="BS42" s="3"/>
      <c r="BT42" s="7"/>
      <c r="BU42" s="7">
        <f t="shared" si="12"/>
        <v>2.7299479166666663</v>
      </c>
      <c r="BV42" s="30"/>
      <c r="BW42" s="30"/>
      <c r="BX42" s="30"/>
      <c r="BZ42" s="5" t="s">
        <v>90</v>
      </c>
      <c r="CA42" s="5" t="s">
        <v>90</v>
      </c>
      <c r="CB42" s="5" t="s">
        <v>90</v>
      </c>
      <c r="CD42" s="21"/>
      <c r="CJ42" s="5" t="s">
        <v>91</v>
      </c>
      <c r="CL42" t="s">
        <v>91</v>
      </c>
      <c r="CN42" s="5" t="s">
        <v>96</v>
      </c>
      <c r="CP42" t="s">
        <v>91</v>
      </c>
    </row>
    <row r="43" spans="1:94" x14ac:dyDescent="0.35">
      <c r="A43" s="3" t="s">
        <v>53</v>
      </c>
      <c r="B43" s="3" t="s">
        <v>160</v>
      </c>
      <c r="C43" s="3" t="s">
        <v>146</v>
      </c>
      <c r="D43" s="3" t="s">
        <v>146</v>
      </c>
      <c r="E43" s="2" t="s">
        <v>107</v>
      </c>
      <c r="F43" s="3" t="s">
        <v>70</v>
      </c>
      <c r="G43" s="5"/>
      <c r="H43" s="14">
        <v>0</v>
      </c>
      <c r="I43" s="7">
        <v>2.4180000000000001</v>
      </c>
      <c r="J43" s="3">
        <v>-0.90599687139745755</v>
      </c>
      <c r="K43" s="4">
        <f t="shared" si="13"/>
        <v>-0.37468853242243899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1">
        <v>0</v>
      </c>
      <c r="S43" s="31">
        <v>0</v>
      </c>
      <c r="T43" s="31">
        <f t="shared" si="6"/>
        <v>0</v>
      </c>
      <c r="U43" s="15"/>
      <c r="V43" s="7">
        <v>0</v>
      </c>
      <c r="W43" s="7">
        <v>3</v>
      </c>
      <c r="X43" s="3">
        <v>-2.6817886394136181E-2</v>
      </c>
      <c r="Y43" s="4">
        <f t="shared" si="7"/>
        <v>-8.9392954647120604E-3</v>
      </c>
      <c r="Z43" s="3">
        <v>0</v>
      </c>
      <c r="AA43" s="17">
        <v>0</v>
      </c>
      <c r="AB43" s="17"/>
      <c r="AC43" s="17"/>
      <c r="AD43" s="3"/>
      <c r="AE43" s="7">
        <v>0</v>
      </c>
      <c r="AF43" s="30"/>
      <c r="AG43" s="30"/>
      <c r="AH43" s="30"/>
      <c r="AJ43" s="3">
        <v>0</v>
      </c>
      <c r="AK43" s="3">
        <v>0</v>
      </c>
      <c r="AL43" s="3">
        <v>0</v>
      </c>
      <c r="AM43" s="4">
        <f t="shared" si="8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30"/>
      <c r="AU43" s="30"/>
      <c r="AV43" s="30"/>
      <c r="AX43" s="17">
        <v>0</v>
      </c>
      <c r="AY43" s="17">
        <v>0</v>
      </c>
      <c r="AZ43" s="17">
        <v>0</v>
      </c>
      <c r="BA43" s="4">
        <f t="shared" si="9"/>
        <v>0</v>
      </c>
      <c r="BB43" s="3">
        <v>0</v>
      </c>
      <c r="BC43" s="17">
        <f t="shared" si="10"/>
        <v>0</v>
      </c>
      <c r="BD43" s="17"/>
      <c r="BE43" s="17"/>
      <c r="BF43" s="3"/>
      <c r="BG43" s="7">
        <v>0</v>
      </c>
      <c r="BH43" s="30"/>
      <c r="BI43" s="30"/>
      <c r="BJ43" s="30"/>
      <c r="BL43" s="17">
        <f t="shared" si="14"/>
        <v>0</v>
      </c>
      <c r="BM43" s="17">
        <f t="shared" si="15"/>
        <v>5.4180000000000001</v>
      </c>
      <c r="BN43" s="17">
        <f t="shared" si="16"/>
        <v>-0.93281475779159373</v>
      </c>
      <c r="BO43" s="4">
        <f t="shared" si="11"/>
        <v>-0.17216957508150493</v>
      </c>
      <c r="BP43" s="3">
        <f t="shared" si="17"/>
        <v>22500</v>
      </c>
      <c r="BQ43" s="7">
        <f t="shared" si="18"/>
        <v>8.3333333333333329E-2</v>
      </c>
      <c r="BR43" s="3"/>
      <c r="BS43" s="3"/>
      <c r="BT43" s="7"/>
      <c r="BU43" s="7">
        <f t="shared" si="12"/>
        <v>8.3333333333333329E-2</v>
      </c>
      <c r="BV43" s="30"/>
      <c r="BW43" s="30"/>
      <c r="BX43" s="30"/>
      <c r="BZ43" s="5" t="s">
        <v>90</v>
      </c>
      <c r="CA43" s="5" t="s">
        <v>90</v>
      </c>
      <c r="CB43" s="5" t="s">
        <v>90</v>
      </c>
      <c r="CD43" s="21"/>
      <c r="CJ43" s="5" t="s">
        <v>91</v>
      </c>
      <c r="CL43" t="s">
        <v>91</v>
      </c>
      <c r="CN43" s="5" t="s">
        <v>157</v>
      </c>
      <c r="CP43" t="s">
        <v>91</v>
      </c>
    </row>
    <row r="44" spans="1:94" x14ac:dyDescent="0.35">
      <c r="A44" s="3" t="s">
        <v>54</v>
      </c>
      <c r="B44" s="3" t="s">
        <v>160</v>
      </c>
      <c r="C44" s="3" t="s">
        <v>146</v>
      </c>
      <c r="D44" s="3" t="s">
        <v>164</v>
      </c>
      <c r="E44" s="2" t="s">
        <v>107</v>
      </c>
      <c r="F44" s="3" t="s">
        <v>70</v>
      </c>
      <c r="G44" s="5"/>
      <c r="H44" s="14">
        <v>20</v>
      </c>
      <c r="I44" s="7">
        <v>19.912500000000001</v>
      </c>
      <c r="J44" s="3">
        <v>4.9214219045178886</v>
      </c>
      <c r="K44" s="4">
        <f t="shared" si="13"/>
        <v>0.24715238691866356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1">
        <v>8</v>
      </c>
      <c r="S44" s="31">
        <v>0</v>
      </c>
      <c r="T44" s="31">
        <f t="shared" si="6"/>
        <v>8</v>
      </c>
      <c r="U44" s="15"/>
      <c r="V44" s="7">
        <v>20</v>
      </c>
      <c r="W44" s="7">
        <v>20</v>
      </c>
      <c r="X44" s="3">
        <v>2.2581580118894564</v>
      </c>
      <c r="Y44" s="4">
        <f t="shared" si="7"/>
        <v>0.11290790059447282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30"/>
      <c r="AG44" s="30"/>
      <c r="AH44" s="30"/>
      <c r="AJ44" s="3">
        <v>12</v>
      </c>
      <c r="AK44" s="3">
        <v>12</v>
      </c>
      <c r="AL44" s="3">
        <v>-5.7418419881105436</v>
      </c>
      <c r="AM44" s="4">
        <f t="shared" si="8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30"/>
      <c r="AU44" s="30"/>
      <c r="AV44" s="30"/>
      <c r="AX44" s="17">
        <v>15</v>
      </c>
      <c r="AY44" s="17">
        <v>15</v>
      </c>
      <c r="AZ44" s="17">
        <v>-2.7418419881105436</v>
      </c>
      <c r="BA44" s="4">
        <f t="shared" si="9"/>
        <v>-0.18278946587403624</v>
      </c>
      <c r="BB44" s="3">
        <v>123997.86326418004</v>
      </c>
      <c r="BC44" s="17">
        <f t="shared" si="10"/>
        <v>4.6000000000000005</v>
      </c>
      <c r="BD44" s="17"/>
      <c r="BE44" s="17"/>
      <c r="BF44" s="3"/>
      <c r="BG44" s="7">
        <v>1.6666666666666667</v>
      </c>
      <c r="BH44" s="30"/>
      <c r="BI44" s="30"/>
      <c r="BJ44" s="30"/>
      <c r="BL44" s="17">
        <f t="shared" si="14"/>
        <v>67</v>
      </c>
      <c r="BM44" s="17">
        <f t="shared" si="15"/>
        <v>66.912499999999994</v>
      </c>
      <c r="BN44" s="17">
        <f t="shared" si="16"/>
        <v>-1.3041040598137421</v>
      </c>
      <c r="BO44" s="4">
        <f t="shared" si="11"/>
        <v>-1.9489692655538834E-2</v>
      </c>
      <c r="BP44" s="3">
        <f t="shared" si="17"/>
        <v>121179.73000817593</v>
      </c>
      <c r="BQ44" s="7">
        <f t="shared" si="18"/>
        <v>4.6000000000000005</v>
      </c>
      <c r="BR44" s="3"/>
      <c r="BS44" s="3"/>
      <c r="BT44" s="7"/>
      <c r="BU44" s="7">
        <f t="shared" si="12"/>
        <v>1.8571180555555555</v>
      </c>
      <c r="BV44" s="30"/>
      <c r="BW44" s="30"/>
      <c r="BX44" s="30"/>
      <c r="BZ44" s="5" t="s">
        <v>90</v>
      </c>
      <c r="CA44" s="5" t="s">
        <v>90</v>
      </c>
      <c r="CB44" s="5" t="s">
        <v>90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91</v>
      </c>
      <c r="CL44" t="s">
        <v>91</v>
      </c>
      <c r="CN44" s="5" t="s">
        <v>105</v>
      </c>
      <c r="CP44" t="s">
        <v>91</v>
      </c>
    </row>
    <row r="45" spans="1:94" x14ac:dyDescent="0.35">
      <c r="A45" s="3" t="s">
        <v>55</v>
      </c>
      <c r="B45" s="3" t="s">
        <v>160</v>
      </c>
      <c r="C45" s="3" t="s">
        <v>146</v>
      </c>
      <c r="D45" s="3" t="s">
        <v>152</v>
      </c>
      <c r="E45" s="2" t="s">
        <v>107</v>
      </c>
      <c r="F45" s="3" t="s">
        <v>70</v>
      </c>
      <c r="G45" s="5"/>
      <c r="H45" s="14">
        <v>33.580799999999996</v>
      </c>
      <c r="I45" s="7">
        <v>20.327999999999999</v>
      </c>
      <c r="J45" s="3">
        <v>5.3945675004542979</v>
      </c>
      <c r="K45" s="4">
        <f t="shared" si="13"/>
        <v>0.26537620525650818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1">
        <v>12</v>
      </c>
      <c r="S45" s="31">
        <v>2</v>
      </c>
      <c r="T45" s="31">
        <f t="shared" si="6"/>
        <v>14</v>
      </c>
      <c r="U45" s="15"/>
      <c r="V45" s="7">
        <v>43.296000000000006</v>
      </c>
      <c r="W45" s="7">
        <v>30</v>
      </c>
      <c r="X45" s="3">
        <v>12.210274602624189</v>
      </c>
      <c r="Y45" s="4">
        <f t="shared" si="7"/>
        <v>0.40700915342080629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30"/>
      <c r="AG45" s="30"/>
      <c r="AH45" s="30"/>
      <c r="AJ45" s="3">
        <v>43.296000000000006</v>
      </c>
      <c r="AK45" s="3">
        <v>43.296000000000006</v>
      </c>
      <c r="AL45" s="3">
        <v>25.506274602624195</v>
      </c>
      <c r="AM45" s="4">
        <f t="shared" si="8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30"/>
      <c r="AU45" s="30"/>
      <c r="AV45" s="30"/>
      <c r="AX45" s="17">
        <v>43.296000000000006</v>
      </c>
      <c r="AY45" s="17">
        <v>43.296000000000006</v>
      </c>
      <c r="AZ45" s="17">
        <v>25.506274602624195</v>
      </c>
      <c r="BA45" s="4">
        <f t="shared" si="9"/>
        <v>0.58911388125055875</v>
      </c>
      <c r="BB45" s="3">
        <v>127216.46290564603</v>
      </c>
      <c r="BC45" s="17">
        <f t="shared" si="10"/>
        <v>4</v>
      </c>
      <c r="BD45" s="17"/>
      <c r="BE45" s="17"/>
      <c r="BF45" s="3"/>
      <c r="BG45" s="7">
        <v>4.8106666666666671</v>
      </c>
      <c r="BH45" s="30"/>
      <c r="BI45" s="30"/>
      <c r="BJ45" s="30"/>
      <c r="BL45" s="17">
        <f t="shared" si="14"/>
        <v>163.46880000000004</v>
      </c>
      <c r="BM45" s="17">
        <f t="shared" si="15"/>
        <v>136.92000000000002</v>
      </c>
      <c r="BN45" s="17">
        <f t="shared" si="16"/>
        <v>68.617391308326873</v>
      </c>
      <c r="BO45" s="4">
        <f t="shared" si="11"/>
        <v>0.50114951291503695</v>
      </c>
      <c r="BP45" s="3">
        <f t="shared" si="17"/>
        <v>124325.17965779043</v>
      </c>
      <c r="BQ45" s="7">
        <f t="shared" si="18"/>
        <v>4</v>
      </c>
      <c r="BR45" s="3"/>
      <c r="BS45" s="3"/>
      <c r="BT45" s="7"/>
      <c r="BU45" s="7">
        <f t="shared" si="12"/>
        <v>4.3341888888888889</v>
      </c>
      <c r="BV45" s="30"/>
      <c r="BW45" s="30"/>
      <c r="BX45" s="30"/>
      <c r="BZ45" s="5" t="s">
        <v>90</v>
      </c>
      <c r="CA45" s="5" t="s">
        <v>90</v>
      </c>
      <c r="CB45" s="5" t="s">
        <v>90</v>
      </c>
      <c r="CD45" s="21">
        <v>15.36</v>
      </c>
      <c r="CF45">
        <f>6.702+5.75</f>
        <v>12.452</v>
      </c>
      <c r="CJ45" s="5" t="s">
        <v>91</v>
      </c>
      <c r="CL45" t="s">
        <v>90</v>
      </c>
      <c r="CN45" s="5" t="s">
        <v>105</v>
      </c>
      <c r="CP45" t="s">
        <v>91</v>
      </c>
    </row>
    <row r="46" spans="1:94" x14ac:dyDescent="0.35">
      <c r="A46" s="3" t="s">
        <v>56</v>
      </c>
      <c r="B46" s="3" t="s">
        <v>160</v>
      </c>
      <c r="C46" s="3" t="s">
        <v>142</v>
      </c>
      <c r="D46" s="3" t="s">
        <v>83</v>
      </c>
      <c r="E46" s="25" t="s">
        <v>107</v>
      </c>
      <c r="F46" s="3" t="s">
        <v>2</v>
      </c>
      <c r="G46" s="5"/>
      <c r="H46" s="14">
        <v>19.099999999999998</v>
      </c>
      <c r="I46" s="7">
        <v>26.685100000000002</v>
      </c>
      <c r="J46" s="3">
        <v>9.1489039781681107</v>
      </c>
      <c r="K46" s="4">
        <f t="shared" si="13"/>
        <v>0.34284690625735376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1">
        <v>28</v>
      </c>
      <c r="S46" s="31">
        <v>13</v>
      </c>
      <c r="T46" s="31">
        <f t="shared" si="6"/>
        <v>41</v>
      </c>
      <c r="U46" s="15"/>
      <c r="V46" s="7">
        <v>20.399999999999999</v>
      </c>
      <c r="W46" s="7">
        <v>19.940000000000001</v>
      </c>
      <c r="X46" s="3">
        <v>1.5658543529773112</v>
      </c>
      <c r="Y46" s="4">
        <f t="shared" si="7"/>
        <v>7.8528302556535159E-2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30"/>
      <c r="AG46" s="30"/>
      <c r="AH46" s="30"/>
      <c r="AJ46" s="3">
        <v>21.65</v>
      </c>
      <c r="AK46" s="3">
        <v>21.65</v>
      </c>
      <c r="AL46" s="3">
        <v>3.2758543529773085</v>
      </c>
      <c r="AM46" s="4">
        <f t="shared" si="8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30"/>
      <c r="AU46" s="30"/>
      <c r="AV46" s="30"/>
      <c r="AX46" s="17">
        <v>20.100000000000001</v>
      </c>
      <c r="AY46" s="17">
        <v>20.100000000000001</v>
      </c>
      <c r="AZ46" s="17">
        <v>1.7258543529773114</v>
      </c>
      <c r="BA46" s="4">
        <f t="shared" si="9"/>
        <v>8.5863400645637369E-2</v>
      </c>
      <c r="BB46" s="3">
        <v>82448.459752116294</v>
      </c>
      <c r="BC46" s="17">
        <f t="shared" si="10"/>
        <v>6.333333333333333</v>
      </c>
      <c r="BD46" s="17"/>
      <c r="BE46" s="17"/>
      <c r="BF46" s="3"/>
      <c r="BG46" s="7">
        <v>1.34</v>
      </c>
      <c r="BH46" s="30"/>
      <c r="BI46" s="30"/>
      <c r="BJ46" s="30"/>
      <c r="BL46" s="17">
        <f t="shared" si="14"/>
        <v>81.25</v>
      </c>
      <c r="BM46" s="17">
        <f t="shared" si="15"/>
        <v>88.375100000000003</v>
      </c>
      <c r="BN46" s="17">
        <f t="shared" si="16"/>
        <v>15.716467037100042</v>
      </c>
      <c r="BO46" s="4">
        <f t="shared" si="11"/>
        <v>0.17783818108381252</v>
      </c>
      <c r="BP46" s="3">
        <f t="shared" si="17"/>
        <v>80574.631121386381</v>
      </c>
      <c r="BQ46" s="7">
        <f t="shared" si="18"/>
        <v>6.333333333333333</v>
      </c>
      <c r="BR46" s="3"/>
      <c r="BS46" s="3"/>
      <c r="BT46" s="7"/>
      <c r="BU46" s="7">
        <f t="shared" si="12"/>
        <v>1.46</v>
      </c>
      <c r="BV46" s="30"/>
      <c r="BW46" s="30"/>
      <c r="BX46" s="30"/>
      <c r="BZ46" s="5" t="s">
        <v>90</v>
      </c>
      <c r="CA46" s="5" t="s">
        <v>90</v>
      </c>
      <c r="CB46" s="5" t="s">
        <v>90</v>
      </c>
      <c r="CD46" s="21"/>
      <c r="CJ46" s="5" t="s">
        <v>91</v>
      </c>
      <c r="CL46" t="s">
        <v>91</v>
      </c>
      <c r="CN46" s="5" t="s">
        <v>104</v>
      </c>
      <c r="CP46" t="s">
        <v>91</v>
      </c>
    </row>
    <row r="47" spans="1:94" x14ac:dyDescent="0.35">
      <c r="A47" s="3" t="s">
        <v>57</v>
      </c>
      <c r="B47" s="3" t="s">
        <v>160</v>
      </c>
      <c r="C47" s="3" t="s">
        <v>142</v>
      </c>
      <c r="D47" s="3" t="s">
        <v>83</v>
      </c>
      <c r="E47" s="25" t="s">
        <v>107</v>
      </c>
      <c r="F47" s="3" t="s">
        <v>2</v>
      </c>
      <c r="G47" s="5"/>
      <c r="H47" s="14">
        <v>12</v>
      </c>
      <c r="I47" s="7">
        <v>13.70505</v>
      </c>
      <c r="J47" s="3">
        <v>5.8051199605303712</v>
      </c>
      <c r="K47" s="4">
        <f t="shared" si="13"/>
        <v>0.42357524857847079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1">
        <v>15</v>
      </c>
      <c r="S47" s="31">
        <v>0</v>
      </c>
      <c r="T47" s="31">
        <f t="shared" si="6"/>
        <v>15</v>
      </c>
      <c r="U47" s="15"/>
      <c r="V47" s="7">
        <v>12</v>
      </c>
      <c r="W47" s="7">
        <v>12</v>
      </c>
      <c r="X47" s="3">
        <v>3.7775750414052212</v>
      </c>
      <c r="Y47" s="4">
        <f t="shared" si="7"/>
        <v>0.31479792011710178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30"/>
      <c r="AG47" s="30"/>
      <c r="AH47" s="30"/>
      <c r="AJ47" s="3">
        <v>12</v>
      </c>
      <c r="AK47" s="3">
        <v>12</v>
      </c>
      <c r="AL47" s="3">
        <v>3.7775750414052212</v>
      </c>
      <c r="AM47" s="4">
        <f t="shared" si="8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30"/>
      <c r="AU47" s="30"/>
      <c r="AV47" s="30"/>
      <c r="AX47" s="17">
        <v>12</v>
      </c>
      <c r="AY47" s="17">
        <v>12</v>
      </c>
      <c r="AZ47" s="17">
        <v>3.7775750414052212</v>
      </c>
      <c r="BA47" s="4">
        <f t="shared" si="9"/>
        <v>0.31479792011710178</v>
      </c>
      <c r="BB47" s="3">
        <v>119545.75414001002</v>
      </c>
      <c r="BC47" s="17">
        <f t="shared" si="10"/>
        <v>2.3333333333333335</v>
      </c>
      <c r="BD47" s="17"/>
      <c r="BE47" s="17"/>
      <c r="BF47" s="3"/>
      <c r="BG47" s="7">
        <v>2</v>
      </c>
      <c r="BH47" s="30"/>
      <c r="BI47" s="30"/>
      <c r="BJ47" s="30"/>
      <c r="BL47" s="17">
        <f t="shared" si="14"/>
        <v>48</v>
      </c>
      <c r="BM47" s="17">
        <f t="shared" si="15"/>
        <v>49.70505</v>
      </c>
      <c r="BN47" s="17">
        <f t="shared" si="16"/>
        <v>17.137845084746033</v>
      </c>
      <c r="BO47" s="4">
        <f t="shared" si="11"/>
        <v>0.34479082275837231</v>
      </c>
      <c r="BP47" s="3">
        <f t="shared" si="17"/>
        <v>116828.80518228252</v>
      </c>
      <c r="BQ47" s="7">
        <f t="shared" si="18"/>
        <v>2.3333333333333335</v>
      </c>
      <c r="BR47" s="3"/>
      <c r="BS47" s="3"/>
      <c r="BT47" s="7"/>
      <c r="BU47" s="7">
        <f t="shared" si="12"/>
        <v>1.9281291666666667</v>
      </c>
      <c r="BV47" s="30"/>
      <c r="BW47" s="30"/>
      <c r="BX47" s="30"/>
      <c r="BZ47" s="5" t="s">
        <v>90</v>
      </c>
      <c r="CA47" s="5" t="s">
        <v>90</v>
      </c>
      <c r="CB47" s="5" t="s">
        <v>90</v>
      </c>
      <c r="CD47" s="21"/>
      <c r="CJ47" s="5" t="s">
        <v>91</v>
      </c>
      <c r="CL47" t="s">
        <v>91</v>
      </c>
      <c r="CN47" s="5" t="s">
        <v>105</v>
      </c>
      <c r="CP47" t="s">
        <v>91</v>
      </c>
    </row>
    <row r="48" spans="1:94" x14ac:dyDescent="0.35">
      <c r="A48" s="3" t="s">
        <v>58</v>
      </c>
      <c r="B48" s="3" t="s">
        <v>160</v>
      </c>
      <c r="C48" s="3" t="s">
        <v>143</v>
      </c>
      <c r="D48" s="3" t="s">
        <v>143</v>
      </c>
      <c r="E48" s="2" t="s">
        <v>107</v>
      </c>
      <c r="F48" s="3" t="s">
        <v>72</v>
      </c>
      <c r="G48" s="5"/>
      <c r="H48" s="14">
        <v>137.5</v>
      </c>
      <c r="I48" s="7">
        <v>200.4</v>
      </c>
      <c r="J48" s="3">
        <v>105.69332839241594</v>
      </c>
      <c r="K48" s="4">
        <f t="shared" si="13"/>
        <v>0.52741181832542883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1">
        <v>210</v>
      </c>
      <c r="S48" s="31">
        <v>24</v>
      </c>
      <c r="T48" s="31">
        <f t="shared" si="6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7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30"/>
      <c r="AG48" s="30"/>
      <c r="AH48" s="30"/>
      <c r="AJ48" s="3">
        <v>137.5</v>
      </c>
      <c r="AK48" s="3">
        <v>137.5</v>
      </c>
      <c r="AL48" s="3">
        <v>59.069681540660525</v>
      </c>
      <c r="AM48" s="4">
        <f t="shared" si="8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30"/>
      <c r="AU48" s="30"/>
      <c r="AV48" s="30"/>
      <c r="AX48" s="17">
        <v>137.5</v>
      </c>
      <c r="AY48" s="17">
        <v>137.5</v>
      </c>
      <c r="AZ48" s="17">
        <v>59.069681540660525</v>
      </c>
      <c r="BA48" s="4">
        <f t="shared" si="9"/>
        <v>0.42959768393207654</v>
      </c>
      <c r="BB48" s="3">
        <v>115325.25917626065</v>
      </c>
      <c r="BC48" s="17">
        <f t="shared" si="10"/>
        <v>24.666666666666668</v>
      </c>
      <c r="BD48" s="17"/>
      <c r="BE48" s="17"/>
      <c r="BF48" s="3"/>
      <c r="BG48" s="7">
        <v>2.4122807017543861</v>
      </c>
      <c r="BH48" s="30"/>
      <c r="BI48" s="30"/>
      <c r="BJ48" s="30"/>
      <c r="BL48" s="17">
        <f t="shared" si="14"/>
        <v>550</v>
      </c>
      <c r="BM48" s="17">
        <f t="shared" si="15"/>
        <v>612.9</v>
      </c>
      <c r="BN48" s="17">
        <f t="shared" si="16"/>
        <v>282.90237301439754</v>
      </c>
      <c r="BO48" s="4">
        <f t="shared" si="11"/>
        <v>0.46157998533920302</v>
      </c>
      <c r="BP48" s="3">
        <f t="shared" si="17"/>
        <v>112704.23055861835</v>
      </c>
      <c r="BQ48" s="7">
        <f t="shared" si="18"/>
        <v>24.666666666666668</v>
      </c>
      <c r="BR48" s="3"/>
      <c r="BS48" s="3"/>
      <c r="BT48" s="7"/>
      <c r="BU48" s="7">
        <f t="shared" si="12"/>
        <v>2.4978070175438596</v>
      </c>
      <c r="BV48" s="30"/>
      <c r="BW48" s="30"/>
      <c r="BX48" s="30"/>
      <c r="BZ48" s="5" t="s">
        <v>90</v>
      </c>
      <c r="CA48" s="5" t="s">
        <v>90</v>
      </c>
      <c r="CB48" s="5" t="s">
        <v>90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91</v>
      </c>
      <c r="CL48" t="s">
        <v>91</v>
      </c>
      <c r="CN48" s="5" t="s">
        <v>105</v>
      </c>
      <c r="CP48" t="s">
        <v>90</v>
      </c>
    </row>
    <row r="49" spans="1:94" x14ac:dyDescent="0.35">
      <c r="A49" s="3" t="s">
        <v>59</v>
      </c>
      <c r="B49" s="3" t="s">
        <v>160</v>
      </c>
      <c r="C49" s="3" t="s">
        <v>142</v>
      </c>
      <c r="D49" s="3" t="s">
        <v>83</v>
      </c>
      <c r="E49" s="25" t="s">
        <v>108</v>
      </c>
      <c r="F49" s="3" t="s">
        <v>2</v>
      </c>
      <c r="G49" s="5"/>
      <c r="H49" s="14">
        <v>81.63</v>
      </c>
      <c r="I49" s="7">
        <v>64.486587209999982</v>
      </c>
      <c r="J49" s="3">
        <v>7.2647824119171851</v>
      </c>
      <c r="K49" s="4">
        <f t="shared" si="13"/>
        <v>0.11265571223763925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1">
        <v>60</v>
      </c>
      <c r="S49" s="31">
        <v>11</v>
      </c>
      <c r="T49" s="31">
        <f t="shared" si="6"/>
        <v>71</v>
      </c>
      <c r="U49" s="15"/>
      <c r="V49" s="7">
        <v>115.69</v>
      </c>
      <c r="W49" s="7">
        <v>55</v>
      </c>
      <c r="X49" s="3">
        <v>-24.91041467184327</v>
      </c>
      <c r="Y49" s="4">
        <f t="shared" si="7"/>
        <v>-0.45291663039715035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30"/>
      <c r="AG49" s="30"/>
      <c r="AH49" s="30"/>
      <c r="AJ49" s="3">
        <v>122.78999999999999</v>
      </c>
      <c r="AK49" s="3">
        <v>122.78999999999999</v>
      </c>
      <c r="AL49" s="3">
        <v>42.879585328156722</v>
      </c>
      <c r="AM49" s="4">
        <f t="shared" si="8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30"/>
      <c r="AU49" s="30"/>
      <c r="AV49" s="30"/>
      <c r="AX49" s="17">
        <v>122.78999999999999</v>
      </c>
      <c r="AY49" s="17">
        <v>122.78999999999999</v>
      </c>
      <c r="AZ49" s="17">
        <v>42.879585328156722</v>
      </c>
      <c r="BA49" s="4">
        <f t="shared" si="9"/>
        <v>0.34921072830162653</v>
      </c>
      <c r="BB49" s="3">
        <v>111100.00000000001</v>
      </c>
      <c r="BC49" s="17">
        <f t="shared" si="10"/>
        <v>19</v>
      </c>
      <c r="BD49" s="17"/>
      <c r="BE49" s="17"/>
      <c r="BF49" s="3"/>
      <c r="BG49" s="7">
        <v>2.558125</v>
      </c>
      <c r="BH49" s="30"/>
      <c r="BI49" s="30"/>
      <c r="BJ49" s="30"/>
      <c r="BL49" s="17">
        <f t="shared" si="14"/>
        <v>442.9</v>
      </c>
      <c r="BM49" s="17">
        <f t="shared" si="15"/>
        <v>365.06658720999997</v>
      </c>
      <c r="BN49" s="17">
        <f t="shared" si="16"/>
        <v>68.113538396387355</v>
      </c>
      <c r="BO49" s="4">
        <f t="shared" si="11"/>
        <v>0.18657839633295692</v>
      </c>
      <c r="BP49" s="3">
        <f t="shared" si="17"/>
        <v>108575</v>
      </c>
      <c r="BQ49" s="7">
        <f t="shared" si="18"/>
        <v>19</v>
      </c>
      <c r="BR49" s="3"/>
      <c r="BS49" s="3"/>
      <c r="BT49" s="7"/>
      <c r="BU49" s="7">
        <f t="shared" si="12"/>
        <v>2.2566145833333335</v>
      </c>
      <c r="BV49" s="30"/>
      <c r="BW49" s="30"/>
      <c r="BX49" s="30"/>
      <c r="BZ49" s="5" t="s">
        <v>90</v>
      </c>
      <c r="CA49" s="5" t="s">
        <v>90</v>
      </c>
      <c r="CB49" s="5" t="s">
        <v>90</v>
      </c>
      <c r="CD49" s="21"/>
      <c r="CF49">
        <f>17+25.69</f>
        <v>42.69</v>
      </c>
      <c r="CH49">
        <f>265500/100000</f>
        <v>2.6549999999999998</v>
      </c>
      <c r="CJ49" s="5" t="s">
        <v>91</v>
      </c>
      <c r="CL49" t="s">
        <v>91</v>
      </c>
      <c r="CN49" s="5" t="s">
        <v>105</v>
      </c>
      <c r="CP49" t="s">
        <v>90</v>
      </c>
    </row>
    <row r="50" spans="1:94" x14ac:dyDescent="0.35">
      <c r="A50" s="3" t="s">
        <v>82</v>
      </c>
      <c r="B50" s="3" t="s">
        <v>160</v>
      </c>
      <c r="C50" s="3" t="s">
        <v>142</v>
      </c>
      <c r="D50" s="3" t="s">
        <v>127</v>
      </c>
      <c r="E50" s="25" t="s">
        <v>108</v>
      </c>
      <c r="F50" s="3" t="s">
        <v>85</v>
      </c>
      <c r="G50" s="5"/>
      <c r="H50" s="14">
        <v>21.75</v>
      </c>
      <c r="I50" s="7">
        <v>22.600740000000002</v>
      </c>
      <c r="J50" s="3">
        <v>17.661625503625256</v>
      </c>
      <c r="K50" s="4">
        <f t="shared" si="13"/>
        <v>0.78146226644018091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1">
        <v>10</v>
      </c>
      <c r="S50" s="31">
        <v>0</v>
      </c>
      <c r="T50" s="31">
        <f t="shared" si="6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7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30"/>
      <c r="AG50" s="30"/>
      <c r="AH50" s="30"/>
      <c r="AJ50" s="3">
        <v>23.700000000000003</v>
      </c>
      <c r="AK50" s="3">
        <v>23.700000000000003</v>
      </c>
      <c r="AL50" s="3">
        <v>18.246000000000002</v>
      </c>
      <c r="AM50" s="4">
        <f t="shared" si="8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30"/>
      <c r="AU50" s="30"/>
      <c r="AV50" s="30"/>
      <c r="AX50" s="17">
        <v>21.75</v>
      </c>
      <c r="AY50" s="17">
        <v>21.75</v>
      </c>
      <c r="AZ50" s="17">
        <v>16.295999999999999</v>
      </c>
      <c r="BA50" s="4">
        <f t="shared" si="9"/>
        <v>0.74924137931034485</v>
      </c>
      <c r="BB50" s="3">
        <v>111100.00000000001</v>
      </c>
      <c r="BC50" s="17">
        <f t="shared" si="10"/>
        <v>1.3333333333333333</v>
      </c>
      <c r="BD50" s="17"/>
      <c r="BE50" s="17"/>
      <c r="BF50" s="3"/>
      <c r="BG50" s="7">
        <v>7.25</v>
      </c>
      <c r="BH50" s="30"/>
      <c r="BI50" s="30"/>
      <c r="BJ50" s="30"/>
      <c r="BL50" s="17">
        <f t="shared" si="14"/>
        <v>92.100000000000009</v>
      </c>
      <c r="BM50" s="17">
        <f t="shared" si="15"/>
        <v>92.95074000000001</v>
      </c>
      <c r="BN50" s="17">
        <f t="shared" si="16"/>
        <v>72.685885503625258</v>
      </c>
      <c r="BO50" s="4">
        <f t="shared" si="11"/>
        <v>0.78198285999256434</v>
      </c>
      <c r="BP50" s="3">
        <f t="shared" si="17"/>
        <v>108575</v>
      </c>
      <c r="BQ50" s="7">
        <f t="shared" si="18"/>
        <v>1.3333333333333333</v>
      </c>
      <c r="BR50" s="3"/>
      <c r="BS50" s="3"/>
      <c r="BT50" s="7"/>
      <c r="BU50" s="7">
        <f t="shared" si="12"/>
        <v>7.6626075000000009</v>
      </c>
      <c r="BV50" s="30"/>
      <c r="BW50" s="30"/>
      <c r="BX50" s="30"/>
      <c r="BZ50" s="5" t="s">
        <v>90</v>
      </c>
      <c r="CA50" s="5" t="s">
        <v>90</v>
      </c>
      <c r="CB50" s="5" t="s">
        <v>90</v>
      </c>
      <c r="CD50" s="21"/>
      <c r="CJ50" s="5" t="s">
        <v>91</v>
      </c>
      <c r="CL50" t="s">
        <v>91</v>
      </c>
      <c r="CN50" s="5" t="s">
        <v>105</v>
      </c>
      <c r="CP50" t="s">
        <v>91</v>
      </c>
    </row>
    <row r="51" spans="1:94" x14ac:dyDescent="0.35">
      <c r="A51" s="3" t="s">
        <v>30</v>
      </c>
      <c r="B51" s="3" t="s">
        <v>160</v>
      </c>
      <c r="C51" s="3" t="s">
        <v>142</v>
      </c>
      <c r="D51" s="3" t="s">
        <v>83</v>
      </c>
      <c r="E51" s="25" t="s">
        <v>108</v>
      </c>
      <c r="F51" s="3" t="s">
        <v>2</v>
      </c>
      <c r="G51" s="5"/>
      <c r="H51" s="14">
        <v>57</v>
      </c>
      <c r="I51" s="7">
        <v>0.99424999999999997</v>
      </c>
      <c r="J51" s="3">
        <v>-22.893979001766425</v>
      </c>
      <c r="K51" s="4">
        <f t="shared" si="13"/>
        <v>-23.026380690738172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1">
        <v>2</v>
      </c>
      <c r="S51" s="31">
        <v>0</v>
      </c>
      <c r="T51" s="31">
        <f t="shared" si="6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7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30"/>
      <c r="AG51" s="30"/>
      <c r="AH51" s="30"/>
      <c r="AJ51" s="3">
        <v>139.5</v>
      </c>
      <c r="AK51" s="3">
        <v>139.5</v>
      </c>
      <c r="AL51" s="3">
        <v>53.628392068126487</v>
      </c>
      <c r="AM51" s="4">
        <f t="shared" si="8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30"/>
      <c r="AU51" s="30"/>
      <c r="AV51" s="30"/>
      <c r="AX51" s="17">
        <v>139.5</v>
      </c>
      <c r="AY51" s="17">
        <v>139.5</v>
      </c>
      <c r="AZ51" s="17">
        <v>53.628392068126487</v>
      </c>
      <c r="BA51" s="4">
        <f t="shared" si="9"/>
        <v>0.38443291805108593</v>
      </c>
      <c r="BB51" s="3">
        <v>116330.72677437146</v>
      </c>
      <c r="BC51" s="17">
        <f t="shared" si="10"/>
        <v>6</v>
      </c>
      <c r="BD51" s="17"/>
      <c r="BE51" s="17"/>
      <c r="BF51" s="3"/>
      <c r="BG51" s="7">
        <v>11.625</v>
      </c>
      <c r="BH51" s="30"/>
      <c r="BI51" s="30"/>
      <c r="BJ51" s="30"/>
      <c r="BL51" s="17">
        <f t="shared" si="14"/>
        <v>445.5</v>
      </c>
      <c r="BM51" s="17">
        <f t="shared" si="15"/>
        <v>279.99425000000002</v>
      </c>
      <c r="BN51" s="17">
        <f t="shared" si="16"/>
        <v>-1.5088027973869629</v>
      </c>
      <c r="BO51" s="4">
        <f t="shared" si="11"/>
        <v>-5.3886920798800787E-3</v>
      </c>
      <c r="BP51" s="3">
        <f t="shared" si="17"/>
        <v>113686.84662040847</v>
      </c>
      <c r="BQ51" s="7">
        <f t="shared" si="18"/>
        <v>6</v>
      </c>
      <c r="BR51" s="3"/>
      <c r="BS51" s="3"/>
      <c r="BT51" s="7"/>
      <c r="BU51" s="7">
        <f t="shared" si="12"/>
        <v>8.09375</v>
      </c>
      <c r="BV51" s="30"/>
      <c r="BW51" s="30"/>
      <c r="BX51" s="30"/>
      <c r="BZ51" s="5" t="s">
        <v>90</v>
      </c>
      <c r="CA51" s="5" t="s">
        <v>90</v>
      </c>
      <c r="CB51" s="5" t="s">
        <v>90</v>
      </c>
      <c r="CD51" s="21"/>
      <c r="CF51">
        <v>0.99424999999999997</v>
      </c>
      <c r="CJ51" s="5" t="s">
        <v>91</v>
      </c>
      <c r="CL51" t="s">
        <v>91</v>
      </c>
      <c r="CN51" s="5" t="s">
        <v>105</v>
      </c>
      <c r="CP51" t="s">
        <v>90</v>
      </c>
    </row>
    <row r="52" spans="1:94" x14ac:dyDescent="0.35">
      <c r="A52" s="3" t="s">
        <v>19</v>
      </c>
      <c r="B52" s="3" t="s">
        <v>160</v>
      </c>
      <c r="C52" s="3" t="s">
        <v>142</v>
      </c>
      <c r="D52" s="3" t="s">
        <v>83</v>
      </c>
      <c r="E52" s="26" t="s">
        <v>107</v>
      </c>
      <c r="F52" s="3" t="s">
        <v>2</v>
      </c>
      <c r="G52" s="5"/>
      <c r="H52" s="14">
        <v>8</v>
      </c>
      <c r="I52" s="7">
        <v>1.2</v>
      </c>
      <c r="J52" s="3">
        <v>-0.83529551386501233</v>
      </c>
      <c r="K52" s="4">
        <f t="shared" si="13"/>
        <v>-0.69607959488751026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1">
        <v>0</v>
      </c>
      <c r="S52" s="31">
        <v>0</v>
      </c>
      <c r="T52" s="31">
        <f t="shared" si="6"/>
        <v>0</v>
      </c>
      <c r="U52" s="15"/>
      <c r="V52" s="7">
        <v>6</v>
      </c>
      <c r="W52" s="7">
        <v>9.5</v>
      </c>
      <c r="X52" s="3">
        <v>6.2028212675386794</v>
      </c>
      <c r="Y52" s="4">
        <f t="shared" si="7"/>
        <v>0.65292855447775577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30"/>
      <c r="AG52" s="30"/>
      <c r="AH52" s="30"/>
      <c r="AJ52" s="3">
        <v>9</v>
      </c>
      <c r="AK52" s="3">
        <v>9</v>
      </c>
      <c r="AL52" s="3">
        <v>5.7028212675386794</v>
      </c>
      <c r="AM52" s="4">
        <f t="shared" si="8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30"/>
      <c r="AU52" s="30"/>
      <c r="AV52" s="30"/>
      <c r="AX52" s="17">
        <v>7</v>
      </c>
      <c r="AY52" s="17">
        <v>7</v>
      </c>
      <c r="AZ52" s="17">
        <v>3.7028212675386794</v>
      </c>
      <c r="BA52" s="4">
        <f t="shared" si="9"/>
        <v>0.52897446679123994</v>
      </c>
      <c r="BB52" s="3">
        <v>153355.57764106497</v>
      </c>
      <c r="BC52" s="17">
        <f t="shared" si="10"/>
        <v>2</v>
      </c>
      <c r="BD52" s="17"/>
      <c r="BE52" s="17"/>
      <c r="BF52" s="3"/>
      <c r="BG52" s="7">
        <v>2.3333333333333335</v>
      </c>
      <c r="BH52" s="30"/>
      <c r="BI52" s="30"/>
      <c r="BJ52" s="30"/>
      <c r="BL52" s="17">
        <f t="shared" si="14"/>
        <v>30</v>
      </c>
      <c r="BM52" s="17">
        <f t="shared" si="15"/>
        <v>26.7</v>
      </c>
      <c r="BN52" s="17">
        <f t="shared" si="16"/>
        <v>14.773168288751025</v>
      </c>
      <c r="BO52" s="4">
        <f t="shared" si="11"/>
        <v>0.55330218309928936</v>
      </c>
      <c r="BP52" s="3">
        <f t="shared" si="17"/>
        <v>149870.22360376804</v>
      </c>
      <c r="BQ52" s="7">
        <f t="shared" si="18"/>
        <v>2</v>
      </c>
      <c r="BR52" s="3"/>
      <c r="BS52" s="3"/>
      <c r="BT52" s="7"/>
      <c r="BU52" s="7">
        <f t="shared" si="12"/>
        <v>2.3333333333333335</v>
      </c>
      <c r="BV52" s="30"/>
      <c r="BW52" s="30"/>
      <c r="BX52" s="30"/>
      <c r="BZ52" s="5" t="s">
        <v>90</v>
      </c>
      <c r="CA52" s="5" t="s">
        <v>90</v>
      </c>
      <c r="CB52" s="5" t="s">
        <v>90</v>
      </c>
      <c r="CD52" s="21"/>
      <c r="CJ52" s="5" t="s">
        <v>91</v>
      </c>
      <c r="CL52" t="s">
        <v>91</v>
      </c>
      <c r="CN52" s="5" t="s">
        <v>157</v>
      </c>
      <c r="CP52" t="s">
        <v>91</v>
      </c>
    </row>
    <row r="53" spans="1:94" x14ac:dyDescent="0.35">
      <c r="A53" s="3" t="s">
        <v>61</v>
      </c>
      <c r="B53" s="3" t="s">
        <v>160</v>
      </c>
      <c r="C53" s="3" t="s">
        <v>142</v>
      </c>
      <c r="D53" s="3" t="s">
        <v>83</v>
      </c>
      <c r="E53" s="26" t="s">
        <v>107</v>
      </c>
      <c r="F53" s="3" t="s">
        <v>2</v>
      </c>
      <c r="G53" s="5"/>
      <c r="H53" s="14">
        <v>1</v>
      </c>
      <c r="I53" s="7">
        <v>0</v>
      </c>
      <c r="J53" s="3">
        <v>0</v>
      </c>
      <c r="K53" s="4">
        <f t="shared" si="13"/>
        <v>0</v>
      </c>
      <c r="L53" s="3">
        <v>121584.75193965515</v>
      </c>
      <c r="M53" s="17">
        <v>0</v>
      </c>
      <c r="N53" s="4"/>
      <c r="O53" s="4">
        <v>0</v>
      </c>
      <c r="P53" s="6" t="s">
        <v>123</v>
      </c>
      <c r="Q53" s="7">
        <v>0</v>
      </c>
      <c r="R53" s="31">
        <v>0</v>
      </c>
      <c r="S53" s="31">
        <v>0</v>
      </c>
      <c r="T53" s="31">
        <f t="shared" si="6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7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30"/>
      <c r="AG53" s="30"/>
      <c r="AH53" s="30"/>
      <c r="AJ53" s="3">
        <v>1</v>
      </c>
      <c r="AK53" s="3">
        <v>1</v>
      </c>
      <c r="AL53" s="3">
        <v>-0.31311532094827554</v>
      </c>
      <c r="AM53" s="4">
        <f t="shared" si="8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30"/>
      <c r="AU53" s="30"/>
      <c r="AV53" s="30"/>
      <c r="AX53" s="17">
        <v>2</v>
      </c>
      <c r="AY53" s="17">
        <v>2</v>
      </c>
      <c r="AZ53" s="17">
        <v>0.68688467905172446</v>
      </c>
      <c r="BA53" s="4">
        <f t="shared" si="9"/>
        <v>0.34344233952586223</v>
      </c>
      <c r="BB53" s="3">
        <v>133743.22713362068</v>
      </c>
      <c r="BC53" s="17">
        <f t="shared" si="10"/>
        <v>0</v>
      </c>
      <c r="BD53" s="17"/>
      <c r="BE53" s="17"/>
      <c r="BF53" s="3"/>
      <c r="BG53" s="7">
        <v>0.31746031746031744</v>
      </c>
      <c r="BH53" s="30"/>
      <c r="BI53" s="30"/>
      <c r="BJ53" s="30"/>
      <c r="BL53" s="17">
        <f t="shared" si="14"/>
        <v>5</v>
      </c>
      <c r="BM53" s="17">
        <f t="shared" si="15"/>
        <v>3</v>
      </c>
      <c r="BN53" s="17">
        <f t="shared" si="16"/>
        <v>-0.93934596284482663</v>
      </c>
      <c r="BO53" s="4">
        <f t="shared" si="11"/>
        <v>-0.31311532094827554</v>
      </c>
      <c r="BP53" s="3">
        <f t="shared" si="17"/>
        <v>130703.60833512928</v>
      </c>
      <c r="BQ53" s="7">
        <f t="shared" si="18"/>
        <v>0</v>
      </c>
      <c r="BR53" s="3"/>
      <c r="BS53" s="3"/>
      <c r="BT53" s="7"/>
      <c r="BU53" s="7">
        <f t="shared" si="12"/>
        <v>0.15873015873015872</v>
      </c>
      <c r="BV53" s="30"/>
      <c r="BW53" s="30"/>
      <c r="BX53" s="30"/>
      <c r="BZ53" s="5" t="s">
        <v>90</v>
      </c>
      <c r="CA53" s="5" t="s">
        <v>90</v>
      </c>
      <c r="CB53" s="5" t="s">
        <v>90</v>
      </c>
      <c r="CD53" s="21"/>
      <c r="CJ53" s="5" t="s">
        <v>91</v>
      </c>
      <c r="CL53" t="s">
        <v>91</v>
      </c>
      <c r="CN53" s="5" t="s">
        <v>157</v>
      </c>
      <c r="CP53" t="s">
        <v>91</v>
      </c>
    </row>
    <row r="54" spans="1:94" x14ac:dyDescent="0.35">
      <c r="A54" s="3" t="s">
        <v>62</v>
      </c>
      <c r="B54" s="3" t="s">
        <v>160</v>
      </c>
      <c r="C54" s="3" t="s">
        <v>146</v>
      </c>
      <c r="D54" s="3" t="s">
        <v>146</v>
      </c>
      <c r="E54" s="2" t="s">
        <v>107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 t="shared" si="13"/>
        <v>0</v>
      </c>
      <c r="L54" s="3">
        <v>0</v>
      </c>
      <c r="M54" s="17">
        <v>0</v>
      </c>
      <c r="N54" s="4"/>
      <c r="O54" s="4">
        <v>0</v>
      </c>
      <c r="P54" s="6" t="s">
        <v>123</v>
      </c>
      <c r="Q54" s="7">
        <v>0</v>
      </c>
      <c r="R54" s="31">
        <v>0</v>
      </c>
      <c r="S54" s="31">
        <v>0</v>
      </c>
      <c r="T54" s="31">
        <f t="shared" si="6"/>
        <v>0</v>
      </c>
      <c r="U54" s="15"/>
      <c r="V54" s="7">
        <v>0</v>
      </c>
      <c r="W54" s="7">
        <v>0</v>
      </c>
      <c r="X54" s="3">
        <v>0</v>
      </c>
      <c r="Y54" s="4">
        <f t="shared" si="7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30"/>
      <c r="AG54" s="30"/>
      <c r="AH54" s="30"/>
      <c r="AJ54" s="3">
        <v>0</v>
      </c>
      <c r="AK54" s="3">
        <v>0</v>
      </c>
      <c r="AL54" s="3">
        <v>0</v>
      </c>
      <c r="AM54" s="4">
        <f t="shared" si="8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30"/>
      <c r="AU54" s="30"/>
      <c r="AV54" s="30"/>
      <c r="AX54" s="17">
        <v>0</v>
      </c>
      <c r="AY54" s="17">
        <v>0</v>
      </c>
      <c r="AZ54" s="17">
        <v>0</v>
      </c>
      <c r="BA54" s="4">
        <f t="shared" si="9"/>
        <v>0</v>
      </c>
      <c r="BB54" s="3">
        <v>0</v>
      </c>
      <c r="BC54" s="17">
        <f t="shared" si="10"/>
        <v>0</v>
      </c>
      <c r="BD54" s="17"/>
      <c r="BE54" s="17"/>
      <c r="BF54" s="3"/>
      <c r="BG54" s="7">
        <v>0</v>
      </c>
      <c r="BH54" s="30"/>
      <c r="BI54" s="30"/>
      <c r="BJ54" s="30"/>
      <c r="BL54" s="17">
        <f t="shared" si="14"/>
        <v>0</v>
      </c>
      <c r="BM54" s="17">
        <f t="shared" si="15"/>
        <v>0</v>
      </c>
      <c r="BN54" s="17">
        <f t="shared" si="16"/>
        <v>0</v>
      </c>
      <c r="BO54" s="4">
        <f t="shared" si="11"/>
        <v>0</v>
      </c>
      <c r="BP54" s="3">
        <f t="shared" si="17"/>
        <v>0</v>
      </c>
      <c r="BQ54" s="7">
        <f t="shared" si="18"/>
        <v>0</v>
      </c>
      <c r="BR54" s="3"/>
      <c r="BS54" s="3"/>
      <c r="BT54" s="7"/>
      <c r="BU54" s="7">
        <f t="shared" si="12"/>
        <v>0</v>
      </c>
      <c r="BV54" s="30"/>
      <c r="BW54" s="30"/>
      <c r="BX54" s="30"/>
      <c r="BZ54" s="5" t="s">
        <v>90</v>
      </c>
      <c r="CA54" s="5" t="s">
        <v>90</v>
      </c>
      <c r="CB54" s="5" t="s">
        <v>90</v>
      </c>
      <c r="CD54" s="21"/>
      <c r="CJ54" s="5" t="s">
        <v>91</v>
      </c>
      <c r="CL54" t="s">
        <v>91</v>
      </c>
      <c r="CN54" s="5" t="s">
        <v>157</v>
      </c>
      <c r="CP54" t="s">
        <v>91</v>
      </c>
    </row>
    <row r="55" spans="1:94" x14ac:dyDescent="0.35">
      <c r="A55" s="3" t="s">
        <v>65</v>
      </c>
      <c r="B55" s="3" t="s">
        <v>161</v>
      </c>
      <c r="C55" s="3" t="s">
        <v>148</v>
      </c>
      <c r="D55" s="3" t="s">
        <v>127</v>
      </c>
      <c r="E55" s="25" t="s">
        <v>108</v>
      </c>
      <c r="F55" s="3" t="s">
        <v>85</v>
      </c>
      <c r="G55" s="5"/>
      <c r="H55" s="14">
        <v>60.514180000000003</v>
      </c>
      <c r="I55" s="7">
        <v>45.287295060000005</v>
      </c>
      <c r="J55" s="3">
        <v>-41.610895725517878</v>
      </c>
      <c r="K55" s="4">
        <f t="shared" si="13"/>
        <v>-0.91882051401808484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1">
        <v>1</v>
      </c>
      <c r="S55" s="31">
        <v>3</v>
      </c>
      <c r="T55" s="31">
        <f t="shared" si="6"/>
        <v>4</v>
      </c>
      <c r="U55" s="15"/>
      <c r="V55" s="7">
        <v>130.62295999999998</v>
      </c>
      <c r="W55" s="7">
        <v>130.60000000000002</v>
      </c>
      <c r="X55" s="3">
        <v>48.582812270367128</v>
      </c>
      <c r="Y55" s="4">
        <f t="shared" si="7"/>
        <v>0.37199703116667016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30"/>
      <c r="AG55" s="30"/>
      <c r="AH55" s="30"/>
      <c r="AJ55" s="3">
        <v>149.51603</v>
      </c>
      <c r="AK55" s="3">
        <v>150</v>
      </c>
      <c r="AL55" s="3">
        <v>67.982812270367106</v>
      </c>
      <c r="AM55" s="4">
        <f t="shared" si="8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30"/>
      <c r="AU55" s="30"/>
      <c r="AV55" s="30"/>
      <c r="AX55" s="17">
        <v>193.60619</v>
      </c>
      <c r="AY55" s="17">
        <f>65*3</f>
        <v>195</v>
      </c>
      <c r="AZ55" s="17">
        <v>112.98281227036711</v>
      </c>
      <c r="BA55" s="4">
        <f t="shared" si="9"/>
        <v>0.57939903728393383</v>
      </c>
      <c r="BB55" s="3">
        <v>55820.296406533576</v>
      </c>
      <c r="BC55" s="17">
        <f t="shared" si="10"/>
        <v>21.333333333333332</v>
      </c>
      <c r="BD55" s="17"/>
      <c r="BE55" s="17"/>
      <c r="BF55" s="3"/>
      <c r="BG55" s="7">
        <v>3.1948216171617165</v>
      </c>
      <c r="BH55" s="30"/>
      <c r="BI55" s="30"/>
      <c r="BJ55" s="30"/>
      <c r="BL55" s="17">
        <f t="shared" si="14"/>
        <v>534.25936000000002</v>
      </c>
      <c r="BM55" s="17">
        <f t="shared" si="15"/>
        <v>520.88729506000004</v>
      </c>
      <c r="BN55" s="17">
        <f t="shared" si="16"/>
        <v>187.93754108558346</v>
      </c>
      <c r="BO55" s="4">
        <f t="shared" si="11"/>
        <v>0.36080269737417053</v>
      </c>
      <c r="BP55" s="3">
        <f t="shared" si="17"/>
        <v>54551.65330638508</v>
      </c>
      <c r="BQ55" s="7">
        <f t="shared" si="18"/>
        <v>21.333333333333332</v>
      </c>
      <c r="BR55" s="3"/>
      <c r="BS55" s="3"/>
      <c r="BT55" s="7"/>
      <c r="BU55" s="7">
        <f t="shared" si="12"/>
        <v>2.0069933168316831</v>
      </c>
      <c r="BV55" s="30"/>
      <c r="BW55" s="30"/>
      <c r="BX55" s="30"/>
      <c r="BZ55" s="5" t="s">
        <v>90</v>
      </c>
      <c r="CA55" s="5" t="s">
        <v>90</v>
      </c>
      <c r="CB55" s="5" t="s">
        <v>90</v>
      </c>
      <c r="CD55" s="21"/>
      <c r="CJ55" s="5" t="s">
        <v>91</v>
      </c>
      <c r="CL55" t="s">
        <v>91</v>
      </c>
      <c r="CN55" s="5" t="s">
        <v>105</v>
      </c>
      <c r="CP55" t="s">
        <v>90</v>
      </c>
    </row>
    <row r="56" spans="1:94" x14ac:dyDescent="0.35">
      <c r="A56" s="3" t="s">
        <v>122</v>
      </c>
      <c r="B56" s="3" t="s">
        <v>161</v>
      </c>
      <c r="C56" s="3" t="s">
        <v>148</v>
      </c>
      <c r="D56" s="3" t="s">
        <v>127</v>
      </c>
      <c r="E56" s="25" t="s">
        <v>108</v>
      </c>
      <c r="F56" s="3" t="s">
        <v>85</v>
      </c>
      <c r="G56" s="5"/>
      <c r="H56" s="14"/>
      <c r="I56" s="7">
        <v>0.7581</v>
      </c>
      <c r="J56" s="3">
        <v>-0.64626796436039635</v>
      </c>
      <c r="K56" s="4"/>
      <c r="L56" s="3"/>
      <c r="M56" s="17"/>
      <c r="N56" s="17">
        <v>75810</v>
      </c>
      <c r="O56" s="4">
        <v>1</v>
      </c>
      <c r="P56" s="6" t="s">
        <v>123</v>
      </c>
      <c r="Q56" s="7"/>
      <c r="R56" s="31">
        <v>0</v>
      </c>
      <c r="S56" s="31">
        <v>0</v>
      </c>
      <c r="T56" s="31">
        <f t="shared" si="6"/>
        <v>0</v>
      </c>
      <c r="U56" s="15"/>
      <c r="V56" s="7"/>
      <c r="W56" s="7">
        <v>0</v>
      </c>
      <c r="X56" s="3">
        <v>0</v>
      </c>
      <c r="Y56" s="4">
        <f t="shared" si="7"/>
        <v>0</v>
      </c>
      <c r="Z56" s="3"/>
      <c r="AA56" s="17"/>
      <c r="AB56" s="17"/>
      <c r="AC56" s="17"/>
      <c r="AD56" s="3"/>
      <c r="AE56" s="7"/>
      <c r="AF56" s="30"/>
      <c r="AG56" s="30"/>
      <c r="AH56" s="30"/>
      <c r="AJ56" s="3"/>
      <c r="AK56" s="3">
        <v>0</v>
      </c>
      <c r="AL56" s="3">
        <v>0</v>
      </c>
      <c r="AM56" s="4">
        <f t="shared" si="8"/>
        <v>0</v>
      </c>
      <c r="AN56" s="3"/>
      <c r="AO56" s="17"/>
      <c r="AP56" s="17"/>
      <c r="AQ56" s="17"/>
      <c r="AR56" s="3"/>
      <c r="AS56" s="7"/>
      <c r="AT56" s="30"/>
      <c r="AU56" s="30"/>
      <c r="AV56" s="30"/>
      <c r="AX56" s="17"/>
      <c r="AY56" s="17">
        <v>0</v>
      </c>
      <c r="AZ56" s="17">
        <v>0</v>
      </c>
      <c r="BA56" s="4">
        <f t="shared" si="9"/>
        <v>0</v>
      </c>
      <c r="BB56" s="3"/>
      <c r="BC56" s="17"/>
      <c r="BD56" s="17"/>
      <c r="BE56" s="17"/>
      <c r="BF56" s="3"/>
      <c r="BG56" s="7"/>
      <c r="BH56" s="30"/>
      <c r="BI56" s="30"/>
      <c r="BJ56" s="30"/>
      <c r="BL56" s="17"/>
      <c r="BM56" s="17"/>
      <c r="BN56" s="17"/>
      <c r="BO56" s="4"/>
      <c r="BP56" s="3"/>
      <c r="BQ56" s="7"/>
      <c r="BR56" s="3"/>
      <c r="BS56" s="3"/>
      <c r="BT56" s="7"/>
      <c r="BU56" s="7"/>
      <c r="BV56" s="30"/>
      <c r="BW56" s="30"/>
      <c r="BX56" s="30"/>
      <c r="BZ56" s="5"/>
      <c r="CA56" s="5"/>
      <c r="CB56" s="5"/>
      <c r="CD56" s="21"/>
      <c r="CJ56" s="5"/>
      <c r="CN56" s="5" t="s">
        <v>157</v>
      </c>
    </row>
    <row r="57" spans="1:94" x14ac:dyDescent="0.35">
      <c r="A57" s="3" t="s">
        <v>66</v>
      </c>
      <c r="B57" s="3" t="s">
        <v>160</v>
      </c>
      <c r="C57" s="3" t="s">
        <v>143</v>
      </c>
      <c r="D57" s="3" t="s">
        <v>143</v>
      </c>
      <c r="E57" s="2" t="s">
        <v>107</v>
      </c>
      <c r="F57" s="3" t="s">
        <v>66</v>
      </c>
      <c r="G57" s="5"/>
      <c r="H57" s="14">
        <v>36.664500000000004</v>
      </c>
      <c r="I57" s="7">
        <v>2.93879</v>
      </c>
      <c r="J57" s="3">
        <v>-0.90896999999999994</v>
      </c>
      <c r="K57" s="4">
        <f t="shared" ref="K57:K62" si="19">IFERROR(J57/I57,0)</f>
        <v>-0.30930076664205336</v>
      </c>
      <c r="L57" s="3">
        <v>101000</v>
      </c>
      <c r="M57" s="17">
        <v>0.79999999999999993</v>
      </c>
      <c r="N57" s="4"/>
      <c r="O57" s="4">
        <v>0</v>
      </c>
      <c r="P57" s="6" t="s">
        <v>123</v>
      </c>
      <c r="Q57" s="7">
        <v>0</v>
      </c>
      <c r="R57" s="31">
        <v>0</v>
      </c>
      <c r="S57" s="31">
        <v>0</v>
      </c>
      <c r="T57" s="31">
        <f t="shared" si="6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7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30"/>
      <c r="AG57" s="30"/>
      <c r="AH57" s="30"/>
      <c r="AJ57" s="3">
        <v>40</v>
      </c>
      <c r="AK57" s="3">
        <v>40</v>
      </c>
      <c r="AL57" s="3">
        <v>37.818399999999997</v>
      </c>
      <c r="AM57" s="4">
        <f t="shared" si="8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30"/>
      <c r="AU57" s="30"/>
      <c r="AV57" s="30"/>
      <c r="AX57" s="17">
        <v>50</v>
      </c>
      <c r="AY57" s="17">
        <v>50</v>
      </c>
      <c r="AZ57" s="17">
        <v>47.818399999999997</v>
      </c>
      <c r="BA57" s="4">
        <f t="shared" si="9"/>
        <v>0.95636799999999988</v>
      </c>
      <c r="BB57" s="3">
        <v>111100.00000000001</v>
      </c>
      <c r="BC57" s="17">
        <f t="shared" si="10"/>
        <v>0.79999999999999993</v>
      </c>
      <c r="BD57" s="17"/>
      <c r="BE57" s="17"/>
      <c r="BF57" s="3"/>
      <c r="BG57" s="7">
        <v>0</v>
      </c>
      <c r="BH57" s="30"/>
      <c r="BI57" s="30"/>
      <c r="BJ57" s="30"/>
      <c r="BL57" s="17">
        <f t="shared" ref="BL57:BN61" si="20">V57+AJ57+AX57+H57</f>
        <v>150.6645</v>
      </c>
      <c r="BM57" s="17">
        <f t="shared" si="20"/>
        <v>99.438789999999997</v>
      </c>
      <c r="BN57" s="17">
        <f t="shared" si="20"/>
        <v>81.956029999999998</v>
      </c>
      <c r="BO57" s="4">
        <f t="shared" si="11"/>
        <v>0.82418571263789508</v>
      </c>
      <c r="BP57" s="3">
        <f t="shared" si="17"/>
        <v>108575</v>
      </c>
      <c r="BQ57" s="7">
        <f t="shared" si="18"/>
        <v>0.79999999999999993</v>
      </c>
      <c r="BR57" s="3"/>
      <c r="BS57" s="3"/>
      <c r="BT57" s="7"/>
      <c r="BU57" s="7">
        <f t="shared" si="12"/>
        <v>0</v>
      </c>
      <c r="BV57" s="30"/>
      <c r="BW57" s="30"/>
      <c r="BX57" s="30"/>
      <c r="BZ57" s="5" t="s">
        <v>90</v>
      </c>
      <c r="CA57" s="5" t="s">
        <v>90</v>
      </c>
      <c r="CB57" s="5" t="s">
        <v>90</v>
      </c>
      <c r="CD57" s="21"/>
      <c r="CF57">
        <v>0.83</v>
      </c>
      <c r="CH57">
        <f>175278/100000</f>
        <v>1.75278</v>
      </c>
      <c r="CJ57" s="5" t="s">
        <v>91</v>
      </c>
      <c r="CL57" t="s">
        <v>91</v>
      </c>
      <c r="CN57" s="5" t="s">
        <v>105</v>
      </c>
      <c r="CP57" t="s">
        <v>91</v>
      </c>
    </row>
    <row r="58" spans="1:94" x14ac:dyDescent="0.35">
      <c r="A58" s="3" t="s">
        <v>67</v>
      </c>
      <c r="B58" s="3" t="s">
        <v>160</v>
      </c>
      <c r="C58" s="3" t="s">
        <v>147</v>
      </c>
      <c r="D58" s="3" t="s">
        <v>147</v>
      </c>
      <c r="E58" s="2" t="s">
        <v>107</v>
      </c>
      <c r="F58" s="3" t="s">
        <v>67</v>
      </c>
      <c r="G58" s="5"/>
      <c r="H58" s="14">
        <v>17.4129</v>
      </c>
      <c r="I58" s="7">
        <v>0</v>
      </c>
      <c r="J58" s="3">
        <v>-4.1586272558005444</v>
      </c>
      <c r="K58" s="4">
        <f t="shared" si="19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1">
        <v>0</v>
      </c>
      <c r="S58" s="31">
        <v>0</v>
      </c>
      <c r="T58" s="31">
        <f t="shared" si="6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7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30"/>
      <c r="AG58" s="30"/>
      <c r="AH58" s="30"/>
      <c r="AJ58" s="3">
        <v>118</v>
      </c>
      <c r="AK58" s="3">
        <v>118</v>
      </c>
      <c r="AL58" s="3">
        <v>96.59825710501832</v>
      </c>
      <c r="AM58" s="4">
        <f t="shared" si="8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30"/>
      <c r="AU58" s="30"/>
      <c r="AV58" s="30"/>
      <c r="AX58" s="17">
        <v>150</v>
      </c>
      <c r="AY58" s="17">
        <v>150</v>
      </c>
      <c r="AZ58" s="17">
        <v>128.59825710501832</v>
      </c>
      <c r="BA58" s="4">
        <f t="shared" si="9"/>
        <v>0.85732171403345547</v>
      </c>
      <c r="BB58" s="3">
        <v>492994.3255245724</v>
      </c>
      <c r="BC58" s="17">
        <f t="shared" si="10"/>
        <v>0.33333333333333331</v>
      </c>
      <c r="BD58" s="17"/>
      <c r="BE58" s="17"/>
      <c r="BF58" s="3"/>
      <c r="BG58" s="7">
        <v>0</v>
      </c>
      <c r="BH58" s="30"/>
      <c r="BI58" s="30"/>
      <c r="BJ58" s="30"/>
      <c r="BL58" s="17">
        <f t="shared" si="20"/>
        <v>349.41289999999998</v>
      </c>
      <c r="BM58" s="17">
        <f t="shared" si="20"/>
        <v>298</v>
      </c>
      <c r="BN58" s="17">
        <f t="shared" si="20"/>
        <v>229.63614405925441</v>
      </c>
      <c r="BO58" s="4">
        <f t="shared" si="11"/>
        <v>0.77059108744716243</v>
      </c>
      <c r="BP58" s="3">
        <f t="shared" si="17"/>
        <v>481789.90903537755</v>
      </c>
      <c r="BQ58" s="7">
        <f t="shared" si="18"/>
        <v>0.33333333333333331</v>
      </c>
      <c r="BR58" s="3"/>
      <c r="BS58" s="3"/>
      <c r="BT58" s="7"/>
      <c r="BU58" s="7">
        <f t="shared" si="12"/>
        <v>0</v>
      </c>
      <c r="BV58" s="30"/>
      <c r="BW58" s="30"/>
      <c r="BX58" s="30"/>
      <c r="BZ58" s="5" t="s">
        <v>90</v>
      </c>
      <c r="CA58" s="5" t="s">
        <v>90</v>
      </c>
      <c r="CB58" s="5" t="s">
        <v>90</v>
      </c>
      <c r="CD58" s="21"/>
      <c r="CJ58" s="5" t="s">
        <v>91</v>
      </c>
      <c r="CL58" t="s">
        <v>91</v>
      </c>
      <c r="CN58" s="5" t="s">
        <v>105</v>
      </c>
      <c r="CP58" t="s">
        <v>91</v>
      </c>
    </row>
    <row r="59" spans="1:94" x14ac:dyDescent="0.35">
      <c r="A59" s="16" t="s">
        <v>86</v>
      </c>
      <c r="B59" s="3" t="s">
        <v>160</v>
      </c>
      <c r="C59" s="3" t="s">
        <v>142</v>
      </c>
      <c r="D59" s="3" t="s">
        <v>83</v>
      </c>
      <c r="E59" s="25" t="s">
        <v>108</v>
      </c>
      <c r="F59" s="16" t="s">
        <v>2</v>
      </c>
      <c r="H59" s="3">
        <v>0</v>
      </c>
      <c r="I59" s="7">
        <v>4</v>
      </c>
      <c r="J59" s="3">
        <v>-5.3226158641469432</v>
      </c>
      <c r="K59" s="4">
        <f t="shared" si="19"/>
        <v>-1.3306539660367358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1">
        <v>0</v>
      </c>
      <c r="S59" s="31">
        <v>0</v>
      </c>
      <c r="T59" s="31">
        <f t="shared" si="6"/>
        <v>0</v>
      </c>
      <c r="U59" s="15"/>
      <c r="V59" s="3"/>
      <c r="W59" s="7">
        <v>21.1</v>
      </c>
      <c r="X59" s="3">
        <v>11.781655811736277</v>
      </c>
      <c r="Y59" s="4">
        <f t="shared" si="7"/>
        <v>0.55837231335243021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30"/>
      <c r="AG59" s="30"/>
      <c r="AH59" s="30"/>
      <c r="AJ59" s="3"/>
      <c r="AK59" s="3">
        <v>0</v>
      </c>
      <c r="AL59" s="3">
        <v>0</v>
      </c>
      <c r="AM59" s="4">
        <f t="shared" si="8"/>
        <v>0</v>
      </c>
      <c r="AN59" s="3"/>
      <c r="AO59" s="17">
        <v>0</v>
      </c>
      <c r="AP59" s="17"/>
      <c r="AQ59" s="17"/>
      <c r="AR59" s="3"/>
      <c r="AS59" s="7">
        <v>0</v>
      </c>
      <c r="AT59" s="30"/>
      <c r="AU59" s="30"/>
      <c r="AV59" s="30"/>
      <c r="AX59" s="8"/>
      <c r="AY59" s="17">
        <v>0</v>
      </c>
      <c r="AZ59" s="17">
        <v>0</v>
      </c>
      <c r="BA59" s="4">
        <f t="shared" si="9"/>
        <v>0</v>
      </c>
      <c r="BB59" s="3">
        <v>99000.000000000015</v>
      </c>
      <c r="BC59" s="17">
        <f t="shared" si="10"/>
        <v>0</v>
      </c>
      <c r="BD59" s="17"/>
      <c r="BE59" s="17"/>
      <c r="BF59" s="8"/>
      <c r="BG59" s="7">
        <v>0</v>
      </c>
      <c r="BH59" s="30"/>
      <c r="BI59" s="30"/>
      <c r="BJ59" s="30"/>
      <c r="BL59" s="17">
        <f t="shared" si="20"/>
        <v>0</v>
      </c>
      <c r="BM59" s="17">
        <f t="shared" si="20"/>
        <v>25.1</v>
      </c>
      <c r="BN59" s="17">
        <f t="shared" si="20"/>
        <v>6.4590399475893339</v>
      </c>
      <c r="BO59" s="4">
        <f t="shared" si="11"/>
        <v>0.25733226882826032</v>
      </c>
      <c r="BP59" s="3">
        <f t="shared" si="17"/>
        <v>96000</v>
      </c>
      <c r="BQ59" s="7">
        <f t="shared" si="18"/>
        <v>0.29166666666666669</v>
      </c>
      <c r="BR59" s="5"/>
      <c r="BS59" s="5"/>
      <c r="BT59" s="7"/>
      <c r="BU59" s="7">
        <f t="shared" si="12"/>
        <v>9.5238095238095233E-2</v>
      </c>
      <c r="BV59" s="30"/>
      <c r="BW59" s="30"/>
      <c r="BX59" s="30"/>
      <c r="BZ59" s="5" t="s">
        <v>90</v>
      </c>
      <c r="CA59" s="5" t="s">
        <v>90</v>
      </c>
      <c r="CB59" s="5" t="s">
        <v>90</v>
      </c>
      <c r="CD59" s="21"/>
      <c r="CF59">
        <v>2</v>
      </c>
      <c r="CJ59" s="5" t="s">
        <v>91</v>
      </c>
      <c r="CL59" t="s">
        <v>91</v>
      </c>
      <c r="CN59" s="5" t="s">
        <v>105</v>
      </c>
      <c r="CP59" t="s">
        <v>91</v>
      </c>
    </row>
    <row r="60" spans="1:94" x14ac:dyDescent="0.35">
      <c r="A60" s="37" t="s">
        <v>87</v>
      </c>
      <c r="B60" s="3" t="s">
        <v>160</v>
      </c>
      <c r="C60" s="3" t="s">
        <v>142</v>
      </c>
      <c r="D60" s="3" t="s">
        <v>83</v>
      </c>
      <c r="E60" s="25" t="s">
        <v>108</v>
      </c>
      <c r="F60" s="16" t="s">
        <v>2</v>
      </c>
      <c r="H60" s="3">
        <v>0</v>
      </c>
      <c r="I60" s="7">
        <v>5.7799999999999994</v>
      </c>
      <c r="J60" s="3">
        <v>-3.0550967515638772</v>
      </c>
      <c r="K60" s="4">
        <f t="shared" si="19"/>
        <v>-0.52856345182766051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1">
        <v>0</v>
      </c>
      <c r="S60" s="31">
        <v>0</v>
      </c>
      <c r="T60" s="31">
        <f t="shared" si="6"/>
        <v>0</v>
      </c>
      <c r="U60" s="15"/>
      <c r="V60" s="3"/>
      <c r="W60" s="7">
        <v>25.956</v>
      </c>
      <c r="X60" s="3">
        <v>17.842736866128618</v>
      </c>
      <c r="Y60" s="4">
        <f t="shared" si="7"/>
        <v>0.6874224405196725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30"/>
      <c r="AG60" s="30"/>
      <c r="AH60" s="30"/>
      <c r="AJ60" s="3"/>
      <c r="AK60" s="3">
        <v>26.28</v>
      </c>
      <c r="AL60" s="3">
        <v>18.16673686612862</v>
      </c>
      <c r="AM60" s="4">
        <f t="shared" si="8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30"/>
      <c r="AU60" s="30"/>
      <c r="AV60" s="30"/>
      <c r="AX60" s="8"/>
      <c r="AY60" s="17">
        <v>23.22</v>
      </c>
      <c r="AZ60" s="17">
        <v>15.106736866128617</v>
      </c>
      <c r="BA60" s="4">
        <f t="shared" si="9"/>
        <v>0.65059159630183538</v>
      </c>
      <c r="BB60" s="3">
        <v>99000.000000000015</v>
      </c>
      <c r="BC60" s="17">
        <f t="shared" si="10"/>
        <v>0</v>
      </c>
      <c r="BD60" s="17"/>
      <c r="BE60" s="17"/>
      <c r="BF60" s="8"/>
      <c r="BG60" s="7">
        <v>0</v>
      </c>
      <c r="BH60" s="30"/>
      <c r="BI60" s="30"/>
      <c r="BJ60" s="30"/>
      <c r="BL60" s="17">
        <f t="shared" si="20"/>
        <v>0</v>
      </c>
      <c r="BM60" s="17">
        <f t="shared" si="20"/>
        <v>81.236000000000004</v>
      </c>
      <c r="BN60" s="17">
        <f t="shared" si="20"/>
        <v>48.061113846821968</v>
      </c>
      <c r="BO60" s="4">
        <f t="shared" si="11"/>
        <v>0.59162334244450698</v>
      </c>
      <c r="BP60" s="3">
        <f t="shared" si="17"/>
        <v>96000</v>
      </c>
      <c r="BQ60" s="7">
        <f t="shared" si="18"/>
        <v>0.14166666666666666</v>
      </c>
      <c r="BR60" s="5"/>
      <c r="BS60" s="5"/>
      <c r="BT60" s="7"/>
      <c r="BU60" s="7">
        <f t="shared" si="12"/>
        <v>0.31250000000000006</v>
      </c>
      <c r="BV60" s="30"/>
      <c r="BW60" s="30"/>
      <c r="BX60" s="30"/>
      <c r="BZ60" s="5" t="s">
        <v>90</v>
      </c>
      <c r="CA60" s="5" t="s">
        <v>90</v>
      </c>
      <c r="CB60" s="5" t="s">
        <v>90</v>
      </c>
      <c r="CD60" s="21"/>
      <c r="CF60">
        <f>1.75+1.75</f>
        <v>3.5</v>
      </c>
      <c r="CJ60" s="5" t="s">
        <v>91</v>
      </c>
      <c r="CL60" t="s">
        <v>91</v>
      </c>
      <c r="CN60" s="5" t="s">
        <v>105</v>
      </c>
      <c r="CP60" t="s">
        <v>91</v>
      </c>
    </row>
    <row r="61" spans="1:94" x14ac:dyDescent="0.35">
      <c r="A61" s="16" t="s">
        <v>109</v>
      </c>
      <c r="B61" s="3" t="s">
        <v>160</v>
      </c>
      <c r="C61" s="16" t="s">
        <v>109</v>
      </c>
      <c r="D61" s="16" t="s">
        <v>109</v>
      </c>
      <c r="E61" s="2" t="s">
        <v>107</v>
      </c>
      <c r="F61" s="16" t="s">
        <v>109</v>
      </c>
      <c r="H61" s="14">
        <v>217</v>
      </c>
      <c r="I61" s="7">
        <v>0</v>
      </c>
      <c r="J61" s="3">
        <v>0</v>
      </c>
      <c r="K61" s="4">
        <f t="shared" si="19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1">
        <v>0</v>
      </c>
      <c r="S61" s="31">
        <v>0</v>
      </c>
      <c r="T61" s="31">
        <f t="shared" si="6"/>
        <v>0</v>
      </c>
      <c r="V61" s="24">
        <v>518</v>
      </c>
      <c r="W61" s="7">
        <v>0</v>
      </c>
      <c r="X61" s="3">
        <v>0</v>
      </c>
      <c r="Y61" s="4">
        <f t="shared" si="7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8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9"/>
        <v>0</v>
      </c>
      <c r="BL61" s="17">
        <f t="shared" si="20"/>
        <v>2531</v>
      </c>
      <c r="BM61" s="17">
        <f t="shared" si="20"/>
        <v>0</v>
      </c>
      <c r="BN61" s="17">
        <f t="shared" si="20"/>
        <v>0</v>
      </c>
      <c r="BO61" s="4">
        <f t="shared" si="11"/>
        <v>0</v>
      </c>
      <c r="BP61" s="3">
        <f t="shared" si="17"/>
        <v>0</v>
      </c>
      <c r="BQ61" s="18"/>
      <c r="BU61" s="7"/>
      <c r="BV61" s="30"/>
      <c r="BW61" s="30"/>
      <c r="BX61" s="30"/>
      <c r="CN61" s="5" t="s">
        <v>105</v>
      </c>
    </row>
    <row r="62" spans="1:94" x14ac:dyDescent="0.35">
      <c r="A62" s="16" t="s">
        <v>110</v>
      </c>
      <c r="B62" s="3" t="s">
        <v>161</v>
      </c>
      <c r="C62" s="3" t="s">
        <v>148</v>
      </c>
      <c r="D62" s="16" t="s">
        <v>150</v>
      </c>
      <c r="E62" s="2" t="s">
        <v>107</v>
      </c>
      <c r="F62" s="16" t="s">
        <v>111</v>
      </c>
      <c r="H62" s="28"/>
      <c r="I62" s="7">
        <v>24.079000000000001</v>
      </c>
      <c r="J62" s="3">
        <v>15.953427854545454</v>
      </c>
      <c r="K62" s="4">
        <f t="shared" si="19"/>
        <v>0.66254528238487698</v>
      </c>
      <c r="L62" s="3">
        <v>0</v>
      </c>
      <c r="M62" s="17">
        <v>5.2</v>
      </c>
      <c r="N62" s="4"/>
      <c r="O62" s="4">
        <v>0</v>
      </c>
      <c r="P62" s="6" t="s">
        <v>123</v>
      </c>
      <c r="Q62" s="8"/>
      <c r="R62" s="31">
        <v>0</v>
      </c>
      <c r="S62" s="31">
        <v>0</v>
      </c>
      <c r="T62" s="31">
        <f t="shared" si="6"/>
        <v>0</v>
      </c>
      <c r="V62" s="18"/>
      <c r="W62" s="7">
        <v>47.9</v>
      </c>
      <c r="X62" s="3">
        <v>35.450044634981815</v>
      </c>
      <c r="Y62" s="4">
        <f t="shared" si="7"/>
        <v>0.7400844391436705</v>
      </c>
      <c r="Z62" s="3">
        <v>0</v>
      </c>
      <c r="AK62" s="3">
        <v>0</v>
      </c>
      <c r="AL62" s="3">
        <v>0</v>
      </c>
      <c r="AM62" s="4">
        <f t="shared" si="8"/>
        <v>0</v>
      </c>
      <c r="AY62" s="18">
        <v>3</v>
      </c>
      <c r="AZ62" s="17">
        <v>0</v>
      </c>
      <c r="BA62" s="4">
        <f t="shared" si="9"/>
        <v>0</v>
      </c>
      <c r="BM62" s="17">
        <f>W62+AK62+AY62+I62</f>
        <v>74.978999999999999</v>
      </c>
      <c r="BN62" s="17">
        <f>X62+AL62+AZ62+J62</f>
        <v>51.403472489527267</v>
      </c>
      <c r="BO62" s="4">
        <f t="shared" si="11"/>
        <v>0.6855715932398041</v>
      </c>
      <c r="BP62" s="3">
        <f t="shared" si="17"/>
        <v>0</v>
      </c>
      <c r="CN62" s="5" t="s">
        <v>105</v>
      </c>
    </row>
    <row r="63" spans="1:94" x14ac:dyDescent="0.35">
      <c r="A63" s="37" t="s">
        <v>118</v>
      </c>
      <c r="B63" s="3" t="s">
        <v>160</v>
      </c>
      <c r="C63" s="3" t="s">
        <v>146</v>
      </c>
      <c r="D63" s="16" t="s">
        <v>146</v>
      </c>
      <c r="E63" s="2" t="s">
        <v>108</v>
      </c>
      <c r="F63" s="16" t="s">
        <v>70</v>
      </c>
      <c r="H63" s="8"/>
      <c r="I63" s="7">
        <v>3.18</v>
      </c>
      <c r="J63" s="3">
        <v>-0.91284300754614056</v>
      </c>
      <c r="K63" s="8"/>
      <c r="L63" s="8"/>
      <c r="M63" s="8"/>
      <c r="N63" s="4"/>
      <c r="O63" s="4">
        <v>0</v>
      </c>
      <c r="P63" s="6" t="s">
        <v>123</v>
      </c>
      <c r="Q63" s="8"/>
      <c r="R63" s="31">
        <v>0</v>
      </c>
      <c r="S63" s="31">
        <v>0</v>
      </c>
      <c r="T63" s="31">
        <f t="shared" si="6"/>
        <v>0</v>
      </c>
      <c r="W63" s="7">
        <v>3.2</v>
      </c>
      <c r="X63" s="3">
        <v>-1.4658410286026005</v>
      </c>
      <c r="Y63" s="4">
        <f t="shared" si="7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8"/>
        <v>-0.45807532143831264</v>
      </c>
      <c r="AZ63" s="17">
        <v>-1.6658410286026006</v>
      </c>
      <c r="BA63" s="4">
        <f t="shared" si="9"/>
        <v>0</v>
      </c>
      <c r="BM63" s="17">
        <f>W63+AK63+AY63+I63</f>
        <v>9.58</v>
      </c>
      <c r="BN63" s="17">
        <f>X63+AL63+AZ63+J63</f>
        <v>-5.5103660933539418</v>
      </c>
      <c r="BO63" s="4">
        <f t="shared" si="11"/>
        <v>-0.57519479053798972</v>
      </c>
      <c r="BP63" s="3">
        <f t="shared" si="17"/>
        <v>0</v>
      </c>
      <c r="CF63">
        <v>2.12</v>
      </c>
      <c r="CN63" s="5" t="s">
        <v>105</v>
      </c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topLeftCell="A43" workbookViewId="0">
      <selection activeCell="F63" sqref="F63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customWidth="1"/>
    <col min="9" max="9" width="13.90625" customWidth="1"/>
    <col min="10" max="14" width="8.7265625" customWidth="1"/>
    <col min="15" max="15" width="9.90625" customWidth="1"/>
    <col min="16" max="18" width="8.7265625" customWidth="1"/>
    <col min="19" max="19" width="10.90625" customWidth="1"/>
    <col min="20" max="20" width="10.7265625" customWidth="1"/>
    <col min="21" max="21" width="10.1796875" customWidth="1"/>
    <col min="22" max="22" width="8.7265625" customWidth="1"/>
    <col min="23" max="23" width="15.7265625" customWidth="1"/>
    <col min="24" max="24" width="13.90625" customWidth="1"/>
    <col min="25" max="25" width="10" customWidth="1"/>
    <col min="26" max="29" width="8.7265625" customWidth="1"/>
    <col min="30" max="30" width="9.90625" customWidth="1"/>
    <col min="31" max="31" width="19.7265625" customWidth="1"/>
    <col min="32" max="33" width="8.7265625" customWidth="1"/>
    <col min="34" max="34" width="10.90625" customWidth="1"/>
    <col min="35" max="35" width="10.7265625" customWidth="1"/>
    <col min="36" max="36" width="10.1796875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9" t="s">
        <v>112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W1" s="39" t="s">
        <v>114</v>
      </c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L1" s="38" t="s">
        <v>115</v>
      </c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BA1" s="38" t="s">
        <v>128</v>
      </c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P1" s="38" t="s">
        <v>129</v>
      </c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E1" s="38" t="s">
        <v>130</v>
      </c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T1" s="38" t="s">
        <v>131</v>
      </c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I1" s="38" t="s">
        <v>132</v>
      </c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X1" s="38" t="s">
        <v>133</v>
      </c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M1" s="38" t="s">
        <v>134</v>
      </c>
      <c r="EN1" s="38"/>
      <c r="EO1" s="38"/>
      <c r="EP1" s="38"/>
      <c r="EQ1" s="38"/>
      <c r="ER1" s="38"/>
      <c r="ES1" s="38"/>
      <c r="ET1" s="38"/>
      <c r="EU1" s="38"/>
      <c r="EV1" s="38"/>
      <c r="EW1" s="38"/>
      <c r="EX1" s="38"/>
      <c r="EY1" s="38"/>
      <c r="EZ1" s="38"/>
      <c r="FB1" s="38" t="s">
        <v>135</v>
      </c>
      <c r="FC1" s="38"/>
      <c r="FD1" s="38"/>
      <c r="FE1" s="38"/>
      <c r="FF1" s="38"/>
      <c r="FG1" s="38"/>
      <c r="FH1" s="38"/>
      <c r="FI1" s="38"/>
      <c r="FJ1" s="38"/>
      <c r="FK1" s="38"/>
      <c r="FL1" s="38"/>
      <c r="FM1" s="38"/>
      <c r="FN1" s="38"/>
      <c r="FO1" s="38"/>
      <c r="FQ1" s="38" t="s">
        <v>136</v>
      </c>
      <c r="FR1" s="38"/>
      <c r="FS1" s="38"/>
      <c r="FT1" s="38"/>
      <c r="FU1" s="38"/>
      <c r="FV1" s="38"/>
      <c r="FW1" s="38"/>
      <c r="FX1" s="38"/>
      <c r="FY1" s="38"/>
      <c r="FZ1" s="38"/>
      <c r="GA1" s="38"/>
      <c r="GB1" s="38"/>
      <c r="GC1" s="38"/>
      <c r="GD1" s="38"/>
      <c r="GF1" s="38" t="s">
        <v>158</v>
      </c>
      <c r="GG1" s="38"/>
      <c r="GH1" s="38"/>
      <c r="GI1" s="38"/>
      <c r="GJ1" s="38"/>
      <c r="GK1" s="38"/>
      <c r="GL1" s="38"/>
      <c r="GM1" s="38"/>
      <c r="GN1" s="38"/>
      <c r="GO1" s="38"/>
      <c r="GP1" s="38"/>
      <c r="GQ1" s="38"/>
      <c r="GR1" s="38"/>
      <c r="GS1" s="38"/>
    </row>
    <row r="2" spans="1:201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H2" s="1" t="s">
        <v>117</v>
      </c>
      <c r="I2" s="1" t="s">
        <v>113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103</v>
      </c>
      <c r="O2" s="1" t="s">
        <v>102</v>
      </c>
      <c r="P2" s="1" t="s">
        <v>34</v>
      </c>
      <c r="Q2" s="1" t="s">
        <v>116</v>
      </c>
      <c r="R2" s="1" t="s">
        <v>28</v>
      </c>
      <c r="S2" s="11" t="s">
        <v>124</v>
      </c>
      <c r="T2" s="11" t="s">
        <v>125</v>
      </c>
      <c r="U2" s="11" t="s">
        <v>126</v>
      </c>
      <c r="W2" s="1" t="s">
        <v>117</v>
      </c>
      <c r="X2" s="1" t="s">
        <v>113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103</v>
      </c>
      <c r="AD2" s="1" t="s">
        <v>102</v>
      </c>
      <c r="AE2" s="1" t="s">
        <v>34</v>
      </c>
      <c r="AF2" s="1" t="s">
        <v>116</v>
      </c>
      <c r="AG2" s="1" t="s">
        <v>28</v>
      </c>
      <c r="AH2" s="11" t="s">
        <v>124</v>
      </c>
      <c r="AI2" s="11" t="s">
        <v>125</v>
      </c>
      <c r="AJ2" s="11" t="s">
        <v>126</v>
      </c>
      <c r="AL2" s="1" t="s">
        <v>117</v>
      </c>
      <c r="AM2" s="1" t="s">
        <v>113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103</v>
      </c>
      <c r="AS2" s="1" t="s">
        <v>102</v>
      </c>
      <c r="AT2" s="1" t="s">
        <v>34</v>
      </c>
      <c r="AU2" s="1" t="s">
        <v>116</v>
      </c>
      <c r="AV2" s="1" t="s">
        <v>28</v>
      </c>
      <c r="AW2" s="1" t="s">
        <v>124</v>
      </c>
      <c r="AX2" s="1" t="s">
        <v>125</v>
      </c>
      <c r="AY2" s="1" t="s">
        <v>126</v>
      </c>
      <c r="BA2" s="1" t="s">
        <v>117</v>
      </c>
      <c r="BB2" s="1" t="s">
        <v>113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103</v>
      </c>
      <c r="BH2" s="1" t="s">
        <v>102</v>
      </c>
      <c r="BI2" s="1" t="s">
        <v>34</v>
      </c>
      <c r="BJ2" s="1" t="s">
        <v>116</v>
      </c>
      <c r="BK2" s="1" t="s">
        <v>28</v>
      </c>
      <c r="BL2" s="1" t="s">
        <v>124</v>
      </c>
      <c r="BM2" s="1" t="s">
        <v>125</v>
      </c>
      <c r="BN2" s="1" t="s">
        <v>126</v>
      </c>
      <c r="BP2" s="1" t="s">
        <v>117</v>
      </c>
      <c r="BQ2" s="1" t="s">
        <v>113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103</v>
      </c>
      <c r="BW2" s="1" t="s">
        <v>102</v>
      </c>
      <c r="BX2" s="1" t="s">
        <v>34</v>
      </c>
      <c r="BY2" s="1" t="s">
        <v>116</v>
      </c>
      <c r="BZ2" s="1" t="s">
        <v>28</v>
      </c>
      <c r="CA2" s="1" t="s">
        <v>124</v>
      </c>
      <c r="CB2" s="1" t="s">
        <v>125</v>
      </c>
      <c r="CC2" s="1" t="s">
        <v>126</v>
      </c>
      <c r="CE2" s="1" t="s">
        <v>117</v>
      </c>
      <c r="CF2" s="1" t="s">
        <v>113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103</v>
      </c>
      <c r="CL2" s="1" t="s">
        <v>102</v>
      </c>
      <c r="CM2" s="1" t="s">
        <v>34</v>
      </c>
      <c r="CN2" s="1" t="s">
        <v>116</v>
      </c>
      <c r="CO2" s="1" t="s">
        <v>28</v>
      </c>
      <c r="CP2" s="1" t="s">
        <v>124</v>
      </c>
      <c r="CQ2" s="1" t="s">
        <v>125</v>
      </c>
      <c r="CR2" s="1" t="s">
        <v>126</v>
      </c>
      <c r="CT2" s="1" t="s">
        <v>117</v>
      </c>
      <c r="CU2" s="1" t="s">
        <v>113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103</v>
      </c>
      <c r="DA2" s="1" t="s">
        <v>102</v>
      </c>
      <c r="DB2" s="1" t="s">
        <v>34</v>
      </c>
      <c r="DC2" s="1" t="s">
        <v>116</v>
      </c>
      <c r="DD2" s="1" t="s">
        <v>28</v>
      </c>
      <c r="DE2" s="1" t="s">
        <v>124</v>
      </c>
      <c r="DF2" s="1" t="s">
        <v>125</v>
      </c>
      <c r="DG2" s="1" t="s">
        <v>126</v>
      </c>
      <c r="DI2" s="1" t="s">
        <v>117</v>
      </c>
      <c r="DJ2" s="1" t="s">
        <v>113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103</v>
      </c>
      <c r="DP2" s="1" t="s">
        <v>102</v>
      </c>
      <c r="DQ2" s="1" t="s">
        <v>34</v>
      </c>
      <c r="DR2" s="1" t="s">
        <v>116</v>
      </c>
      <c r="DS2" s="1" t="s">
        <v>28</v>
      </c>
      <c r="DT2" s="1" t="s">
        <v>124</v>
      </c>
      <c r="DU2" s="1" t="s">
        <v>125</v>
      </c>
      <c r="DV2" s="1" t="s">
        <v>126</v>
      </c>
      <c r="DX2" s="1" t="s">
        <v>117</v>
      </c>
      <c r="DY2" s="1" t="s">
        <v>113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103</v>
      </c>
      <c r="EE2" s="1" t="s">
        <v>102</v>
      </c>
      <c r="EF2" s="1" t="s">
        <v>34</v>
      </c>
      <c r="EG2" s="1" t="s">
        <v>116</v>
      </c>
      <c r="EH2" s="1" t="s">
        <v>28</v>
      </c>
      <c r="EI2" s="1" t="s">
        <v>124</v>
      </c>
      <c r="EJ2" s="1" t="s">
        <v>125</v>
      </c>
      <c r="EK2" s="1" t="s">
        <v>126</v>
      </c>
      <c r="EM2" s="1" t="s">
        <v>117</v>
      </c>
      <c r="EN2" s="1" t="s">
        <v>113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103</v>
      </c>
      <c r="ET2" s="1" t="s">
        <v>102</v>
      </c>
      <c r="EU2" s="1" t="s">
        <v>34</v>
      </c>
      <c r="EV2" s="1" t="s">
        <v>116</v>
      </c>
      <c r="EW2" s="1" t="s">
        <v>28</v>
      </c>
      <c r="EX2" s="1" t="s">
        <v>124</v>
      </c>
      <c r="EY2" s="1" t="s">
        <v>125</v>
      </c>
      <c r="EZ2" s="1" t="s">
        <v>126</v>
      </c>
      <c r="FB2" s="1" t="s">
        <v>117</v>
      </c>
      <c r="FC2" s="1" t="s">
        <v>113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103</v>
      </c>
      <c r="FI2" s="1" t="s">
        <v>102</v>
      </c>
      <c r="FJ2" s="1" t="s">
        <v>34</v>
      </c>
      <c r="FK2" s="1" t="s">
        <v>116</v>
      </c>
      <c r="FL2" s="1" t="s">
        <v>28</v>
      </c>
      <c r="FM2" s="1" t="s">
        <v>124</v>
      </c>
      <c r="FN2" s="1" t="s">
        <v>125</v>
      </c>
      <c r="FO2" s="1" t="s">
        <v>126</v>
      </c>
      <c r="FQ2" s="1" t="s">
        <v>117</v>
      </c>
      <c r="FR2" s="1" t="s">
        <v>113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103</v>
      </c>
      <c r="FX2" s="1" t="s">
        <v>102</v>
      </c>
      <c r="FY2" s="1" t="s">
        <v>34</v>
      </c>
      <c r="FZ2" s="1" t="s">
        <v>116</v>
      </c>
      <c r="GA2" s="1" t="s">
        <v>28</v>
      </c>
      <c r="GB2" s="1" t="s">
        <v>124</v>
      </c>
      <c r="GC2" s="1" t="s">
        <v>125</v>
      </c>
      <c r="GD2" s="1" t="s">
        <v>126</v>
      </c>
      <c r="GF2" s="1" t="s">
        <v>117</v>
      </c>
      <c r="GG2" s="1" t="s">
        <v>113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103</v>
      </c>
      <c r="GM2" s="1" t="s">
        <v>102</v>
      </c>
      <c r="GN2" s="1" t="s">
        <v>34</v>
      </c>
      <c r="GO2" s="1" t="s">
        <v>116</v>
      </c>
      <c r="GP2" s="1" t="s">
        <v>28</v>
      </c>
      <c r="GQ2" s="1" t="s">
        <v>124</v>
      </c>
      <c r="GR2" s="1" t="s">
        <v>125</v>
      </c>
      <c r="GS2" s="1" t="s">
        <v>126</v>
      </c>
    </row>
    <row r="3" spans="1:201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30">
        <v>148</v>
      </c>
      <c r="T3" s="30">
        <v>100</v>
      </c>
      <c r="U3" s="30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30">
        <v>214.79999999999998</v>
      </c>
      <c r="AI3" s="30">
        <v>143.20000000000002</v>
      </c>
      <c r="AJ3" s="30">
        <f>AH3+AI3</f>
        <v>358</v>
      </c>
      <c r="AL3" s="14">
        <v>188</v>
      </c>
      <c r="AM3" s="17">
        <v>162.88630000000001</v>
      </c>
      <c r="AN3" s="3">
        <v>96.771963023911226</v>
      </c>
      <c r="AO3" s="4">
        <f>IFERROR(AN3/AM3,0)</f>
        <v>0.59410744196357346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264.87188426955174</v>
      </c>
      <c r="GI3" s="4">
        <f>IFERROR(GH3/GG3,0)</f>
        <v>0.57706292869183384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5">
        <f>S3+AH3+AW3+BL3+CA3+CP3+DE3+DT3+EI3+EX3+FM3+GB3</f>
        <v>533.79999999999995</v>
      </c>
      <c r="GR3" s="35">
        <f>T3+AI3+AX3+BM3+CB3+CQ3+DF3+DU3+EJ3+EY3+FN3+GC3</f>
        <v>458.20000000000005</v>
      </c>
      <c r="GS3" s="35">
        <f>U3+AJ3+AY3+BN3+CC3+CR3+DG3+DV3+EK3+EZ3+FO3+GD3</f>
        <v>992</v>
      </c>
    </row>
    <row r="4" spans="1:201" x14ac:dyDescent="0.35">
      <c r="A4" s="3" t="s">
        <v>60</v>
      </c>
      <c r="B4" s="3" t="s">
        <v>160</v>
      </c>
      <c r="C4" s="2" t="s">
        <v>144</v>
      </c>
      <c r="D4" s="2" t="s">
        <v>84</v>
      </c>
      <c r="E4" s="2" t="s">
        <v>107</v>
      </c>
      <c r="F4" s="3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123</v>
      </c>
      <c r="Q4" s="6"/>
      <c r="R4" s="7">
        <v>1.1281000000000001</v>
      </c>
      <c r="S4" s="30">
        <v>1</v>
      </c>
      <c r="T4" s="30">
        <v>2</v>
      </c>
      <c r="U4" s="30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123</v>
      </c>
      <c r="AF4" s="3">
        <v>7.25</v>
      </c>
      <c r="AG4" s="7">
        <v>3.0208333333333339</v>
      </c>
      <c r="AH4" s="30">
        <v>2</v>
      </c>
      <c r="AI4" s="30">
        <v>4</v>
      </c>
      <c r="AJ4" s="30">
        <f t="shared" ref="AJ4:AJ64" si="6">AH4+AI4</f>
        <v>6</v>
      </c>
      <c r="AL4" s="14">
        <v>2</v>
      </c>
      <c r="AM4" s="17">
        <v>4.1900000000000004</v>
      </c>
      <c r="AN4" s="3">
        <v>0.18678088553504896</v>
      </c>
      <c r="AO4" s="4">
        <f t="shared" ref="AO4:AO64" si="7">IFERROR(AN4/AM4,0)</f>
        <v>4.4577776977338647E-2</v>
      </c>
      <c r="AP4" s="3">
        <v>166800.79643603964</v>
      </c>
      <c r="AQ4" s="17">
        <v>2.4</v>
      </c>
      <c r="AR4" s="17">
        <f t="shared" ref="AR4:AR64" si="8">IFERROR(AM4/AY4*100000,0)</f>
        <v>69833.333333333343</v>
      </c>
      <c r="AS4" s="4">
        <f t="shared" ref="AS4:AS64" si="9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10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 t="shared" ref="GF4:GF64" si="11">H4+W4+AL4+BA4+BP4+CE4+CT4+DI4+DX4+EM4+FB4+FQ4</f>
        <v>5</v>
      </c>
      <c r="GG4" s="14">
        <f t="shared" ref="GG4:GG64" si="12">I4+X4+AM4+BB4+BQ4+CF4+CU4+DJ4+DY4+EN4+FC4+FR4</f>
        <v>13.696200000000001</v>
      </c>
      <c r="GH4" s="14">
        <f t="shared" ref="GH4:GH64" si="13">J4+Y4+AN4+BC4+BR4+CG4+CV4+DK4+DZ4+EO4+FD4+FS4</f>
        <v>2.8139149736738225</v>
      </c>
      <c r="GI4" s="4">
        <f t="shared" ref="GI4:GI64" si="14">IFERROR(GH4/GG4,0)</f>
        <v>0.20545224030561923</v>
      </c>
      <c r="GJ4" s="3">
        <f t="shared" ref="GJ4:GJ64" si="15">AVERAGE(L4,AA4,AP4,BE4,BT4,CI4,CX4,DM4,EB4,EQ4,FF4,FU4)</f>
        <v>160143.62285510998</v>
      </c>
      <c r="GK4" s="3">
        <f t="shared" ref="GK4:GK64" si="16">AVERAGE(M4,AB4,AQ4,BF4,BU4,CJ4,CY4,DN4,EC4,ER4,FG4,FV4)</f>
        <v>2.2666666666666671</v>
      </c>
      <c r="GL4" s="17">
        <f t="shared" ref="GL4:GL64" si="17">GG4/GS4*100000</f>
        <v>91308.000000000015</v>
      </c>
      <c r="GM4" s="4">
        <f t="shared" ref="GM4:GM64" si="18">GQ4/GS4</f>
        <v>0.33333333333333331</v>
      </c>
      <c r="GN4" s="3" t="e">
        <f t="shared" ref="GN4:GN64" si="19">AVERAGE(P4,AE4,AT4,BI4,BX4,CM4,DB4,DQ4,EF4,EU4,FJ4,FY4)</f>
        <v>#DIV/0!</v>
      </c>
      <c r="GO4" s="14">
        <f t="shared" ref="GO4:GO64" si="20">Q4+AF4+AU4+BJ4+BY4+CN4+DC4+DR4+EG4+EV4+FK4+FZ4</f>
        <v>7.25</v>
      </c>
      <c r="GP4" s="3">
        <f t="shared" ref="GP4:GP64" si="21">AVERAGE(R4,AG4,AV4,BK4,BZ4,CO4,DD4,DS4,EH4,EW4,FL4,GA4)</f>
        <v>2.0744666666666669</v>
      </c>
      <c r="GQ4" s="35">
        <f t="shared" ref="GQ4:GQ64" si="22">S4+AH4+AW4+BL4+CA4+CP4+DE4+DT4+EI4+EX4+FM4+GB4</f>
        <v>5</v>
      </c>
      <c r="GR4" s="35">
        <f t="shared" ref="GR4:GR64" si="23">T4+AI4+AX4+BM4+CB4+CQ4+DF4+DU4+EJ4+EY4+FN4+GC4</f>
        <v>10</v>
      </c>
      <c r="GS4" s="35">
        <f t="shared" ref="GS4:GS64" si="24">U4+AJ4+AY4+BN4+CC4+CR4+DG4+DV4+EK4+EZ4+FO4+GD4</f>
        <v>15</v>
      </c>
    </row>
    <row r="5" spans="1:201" x14ac:dyDescent="0.35">
      <c r="A5" s="3" t="s">
        <v>7</v>
      </c>
      <c r="B5" s="3" t="s">
        <v>160</v>
      </c>
      <c r="C5" s="2" t="s">
        <v>142</v>
      </c>
      <c r="D5" s="2" t="s">
        <v>83</v>
      </c>
      <c r="E5" s="2" t="s">
        <v>107</v>
      </c>
      <c r="F5" s="3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30">
        <v>9</v>
      </c>
      <c r="T5" s="30">
        <v>11</v>
      </c>
      <c r="U5" s="30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30">
        <v>13</v>
      </c>
      <c r="AI5" s="30">
        <v>0</v>
      </c>
      <c r="AJ5" s="30">
        <f t="shared" si="6"/>
        <v>13</v>
      </c>
      <c r="AL5" s="14">
        <v>8</v>
      </c>
      <c r="AM5" s="17">
        <v>4.5</v>
      </c>
      <c r="AN5" s="3">
        <v>-0.95060645895081364</v>
      </c>
      <c r="AO5" s="4">
        <f t="shared" si="7"/>
        <v>-0.21124587976684747</v>
      </c>
      <c r="AP5" s="3">
        <v>107295.40273525222</v>
      </c>
      <c r="AQ5" s="17">
        <v>5.08</v>
      </c>
      <c r="AR5" s="17">
        <f t="shared" si="8"/>
        <v>37500</v>
      </c>
      <c r="AS5" s="4">
        <f t="shared" si="9"/>
        <v>0.5</v>
      </c>
      <c r="AT5" s="3"/>
      <c r="AU5" s="3"/>
      <c r="AV5" s="7"/>
      <c r="AW5" s="8">
        <v>6</v>
      </c>
      <c r="AX5" s="8">
        <v>6</v>
      </c>
      <c r="AY5" s="8">
        <f t="shared" si="10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 t="shared" si="11"/>
        <v>24</v>
      </c>
      <c r="GG5" s="14">
        <f t="shared" si="12"/>
        <v>23.2546766</v>
      </c>
      <c r="GH5" s="14">
        <f t="shared" si="13"/>
        <v>7.3229793341721141</v>
      </c>
      <c r="GI5" s="4">
        <f t="shared" si="14"/>
        <v>0.31490351210354456</v>
      </c>
      <c r="GJ5" s="3">
        <f t="shared" si="15"/>
        <v>105763.10808225301</v>
      </c>
      <c r="GK5" s="3">
        <f t="shared" si="16"/>
        <v>5.0733333333333333</v>
      </c>
      <c r="GL5" s="17">
        <f t="shared" si="17"/>
        <v>51677.059111111113</v>
      </c>
      <c r="GM5" s="4">
        <f t="shared" si="18"/>
        <v>0.62222222222222223</v>
      </c>
      <c r="GN5" s="3">
        <f t="shared" si="19"/>
        <v>2.75</v>
      </c>
      <c r="GO5" s="14">
        <f t="shared" si="20"/>
        <v>0</v>
      </c>
      <c r="GP5" s="3">
        <f t="shared" si="21"/>
        <v>1.8495514923282812</v>
      </c>
      <c r="GQ5" s="35">
        <f t="shared" si="22"/>
        <v>28</v>
      </c>
      <c r="GR5" s="35">
        <f t="shared" si="23"/>
        <v>17</v>
      </c>
      <c r="GS5" s="35">
        <f t="shared" si="24"/>
        <v>45</v>
      </c>
    </row>
    <row r="6" spans="1:201" x14ac:dyDescent="0.35">
      <c r="A6" s="3" t="s">
        <v>37</v>
      </c>
      <c r="B6" s="3" t="s">
        <v>160</v>
      </c>
      <c r="C6" s="2" t="s">
        <v>142</v>
      </c>
      <c r="D6" s="2" t="s">
        <v>127</v>
      </c>
      <c r="E6" s="2" t="s">
        <v>107</v>
      </c>
      <c r="F6" s="3" t="s">
        <v>85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30">
        <v>16</v>
      </c>
      <c r="T6" s="30">
        <v>10</v>
      </c>
      <c r="U6" s="30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30">
        <v>11</v>
      </c>
      <c r="AI6" s="30">
        <v>12</v>
      </c>
      <c r="AJ6" s="30">
        <f t="shared" si="6"/>
        <v>23</v>
      </c>
      <c r="AL6" s="14">
        <v>19</v>
      </c>
      <c r="AM6" s="17">
        <v>35.9</v>
      </c>
      <c r="AN6" s="3">
        <v>17.506526552413852</v>
      </c>
      <c r="AO6" s="4">
        <f t="shared" si="7"/>
        <v>0.48764697917587335</v>
      </c>
      <c r="AP6" s="3">
        <v>118667.57062958804</v>
      </c>
      <c r="AQ6" s="17">
        <v>15.5</v>
      </c>
      <c r="AR6" s="17">
        <f t="shared" si="8"/>
        <v>123793.10344827586</v>
      </c>
      <c r="AS6" s="4">
        <f t="shared" si="9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10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 t="shared" si="11"/>
        <v>56</v>
      </c>
      <c r="GG6" s="14">
        <f t="shared" si="12"/>
        <v>79.400000000000006</v>
      </c>
      <c r="GH6" s="14">
        <f t="shared" si="13"/>
        <v>24.748677023168209</v>
      </c>
      <c r="GI6" s="4">
        <f t="shared" si="14"/>
        <v>0.31169618417088424</v>
      </c>
      <c r="GJ6" s="3">
        <f t="shared" si="15"/>
        <v>115695.88237038562</v>
      </c>
      <c r="GK6" s="3">
        <f t="shared" si="16"/>
        <v>15.583333333333334</v>
      </c>
      <c r="GL6" s="17">
        <f t="shared" si="17"/>
        <v>101794.87179487181</v>
      </c>
      <c r="GM6" s="4">
        <f t="shared" si="18"/>
        <v>0.57692307692307687</v>
      </c>
      <c r="GN6" s="3">
        <f t="shared" si="19"/>
        <v>1.3175013153489261</v>
      </c>
      <c r="GO6" s="14">
        <f t="shared" si="20"/>
        <v>43.5</v>
      </c>
      <c r="GP6" s="3">
        <f t="shared" si="21"/>
        <v>1.3896569380440349</v>
      </c>
      <c r="GQ6" s="35">
        <f t="shared" si="22"/>
        <v>45</v>
      </c>
      <c r="GR6" s="35">
        <f t="shared" si="23"/>
        <v>33</v>
      </c>
      <c r="GS6" s="35">
        <f t="shared" si="24"/>
        <v>78</v>
      </c>
    </row>
    <row r="7" spans="1:201" x14ac:dyDescent="0.35">
      <c r="A7" s="3" t="s">
        <v>38</v>
      </c>
      <c r="B7" s="3" t="s">
        <v>160</v>
      </c>
      <c r="C7" s="2" t="s">
        <v>146</v>
      </c>
      <c r="D7" s="2" t="s">
        <v>151</v>
      </c>
      <c r="E7" s="2" t="s">
        <v>107</v>
      </c>
      <c r="F7" s="3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30">
        <v>9</v>
      </c>
      <c r="T7" s="30">
        <v>1</v>
      </c>
      <c r="U7" s="30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30">
        <v>11</v>
      </c>
      <c r="AI7" s="30">
        <v>5</v>
      </c>
      <c r="AJ7" s="30">
        <f t="shared" si="6"/>
        <v>16</v>
      </c>
      <c r="AL7" s="14">
        <v>10.199999999999999</v>
      </c>
      <c r="AM7" s="17">
        <v>8.1999999999999993</v>
      </c>
      <c r="AN7" s="3">
        <v>-1.5888981398308952</v>
      </c>
      <c r="AO7" s="4">
        <f t="shared" si="7"/>
        <v>-0.19376806583303602</v>
      </c>
      <c r="AP7" s="3">
        <v>134094.49506617663</v>
      </c>
      <c r="AQ7" s="17">
        <v>7.3</v>
      </c>
      <c r="AR7" s="17">
        <f t="shared" si="8"/>
        <v>54666.666666666664</v>
      </c>
      <c r="AS7" s="4">
        <f t="shared" si="9"/>
        <v>0.8666666666666667</v>
      </c>
      <c r="AT7" s="3"/>
      <c r="AU7" s="3"/>
      <c r="AV7" s="7"/>
      <c r="AW7" s="8">
        <v>13</v>
      </c>
      <c r="AX7" s="8">
        <v>2</v>
      </c>
      <c r="AY7" s="8">
        <f t="shared" si="10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 t="shared" si="11"/>
        <v>28.499999999999996</v>
      </c>
      <c r="GG7" s="14">
        <f t="shared" si="12"/>
        <v>20.388500000000001</v>
      </c>
      <c r="GH7" s="14">
        <f t="shared" si="13"/>
        <v>-9.3289321830135208</v>
      </c>
      <c r="GI7" s="4">
        <f t="shared" si="14"/>
        <v>-0.45755853461576479</v>
      </c>
      <c r="GJ7" s="3">
        <f t="shared" si="15"/>
        <v>134852.06479901084</v>
      </c>
      <c r="GK7" s="3">
        <f t="shared" si="16"/>
        <v>7.2</v>
      </c>
      <c r="GL7" s="17">
        <f t="shared" si="17"/>
        <v>49728.048780487807</v>
      </c>
      <c r="GM7" s="4">
        <f t="shared" si="18"/>
        <v>0.80487804878048785</v>
      </c>
      <c r="GN7" s="3">
        <f t="shared" si="19"/>
        <v>1.6666666666666665</v>
      </c>
      <c r="GO7" s="14">
        <f t="shared" si="20"/>
        <v>9.8435000000000006</v>
      </c>
      <c r="GP7" s="3">
        <f t="shared" si="21"/>
        <v>0.85278913894324848</v>
      </c>
      <c r="GQ7" s="35">
        <f t="shared" si="22"/>
        <v>33</v>
      </c>
      <c r="GR7" s="35">
        <f t="shared" si="23"/>
        <v>8</v>
      </c>
      <c r="GS7" s="35">
        <f t="shared" si="24"/>
        <v>41</v>
      </c>
    </row>
    <row r="8" spans="1:201" x14ac:dyDescent="0.35">
      <c r="A8" s="3" t="s">
        <v>39</v>
      </c>
      <c r="B8" s="3" t="s">
        <v>160</v>
      </c>
      <c r="C8" s="2" t="s">
        <v>142</v>
      </c>
      <c r="D8" s="2" t="s">
        <v>127</v>
      </c>
      <c r="E8" s="2" t="s">
        <v>107</v>
      </c>
      <c r="F8" s="3" t="s">
        <v>85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30">
        <v>23</v>
      </c>
      <c r="T8" s="30">
        <v>14</v>
      </c>
      <c r="U8" s="30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30">
        <v>27</v>
      </c>
      <c r="AI8" s="30">
        <v>14</v>
      </c>
      <c r="AJ8" s="30">
        <f t="shared" si="6"/>
        <v>41</v>
      </c>
      <c r="AL8" s="14">
        <v>11</v>
      </c>
      <c r="AM8" s="17">
        <v>11</v>
      </c>
      <c r="AN8" s="3">
        <v>3.0274211082825713</v>
      </c>
      <c r="AO8" s="4">
        <f t="shared" si="7"/>
        <v>0.27522010075296105</v>
      </c>
      <c r="AP8" s="3">
        <v>92168.542100779508</v>
      </c>
      <c r="AQ8" s="17">
        <v>8.65</v>
      </c>
      <c r="AR8" s="17">
        <f t="shared" si="8"/>
        <v>33333.333333333328</v>
      </c>
      <c r="AS8" s="4">
        <f t="shared" si="9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10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 t="shared" si="11"/>
        <v>33</v>
      </c>
      <c r="GG8" s="14">
        <f t="shared" si="12"/>
        <v>38.252499999999998</v>
      </c>
      <c r="GH8" s="14">
        <f t="shared" si="13"/>
        <v>14.408372230923614</v>
      </c>
      <c r="GI8" s="4">
        <f t="shared" si="14"/>
        <v>0.37666485147176304</v>
      </c>
      <c r="GJ8" s="3">
        <f t="shared" si="15"/>
        <v>91697.369964936559</v>
      </c>
      <c r="GK8" s="3">
        <f t="shared" si="16"/>
        <v>8.7000000000000011</v>
      </c>
      <c r="GL8" s="17">
        <f t="shared" si="17"/>
        <v>34461.711711711709</v>
      </c>
      <c r="GM8" s="4">
        <f t="shared" si="18"/>
        <v>0.60360360360360366</v>
      </c>
      <c r="GN8" s="3">
        <f t="shared" si="19"/>
        <v>3.125</v>
      </c>
      <c r="GO8" s="14">
        <f t="shared" si="20"/>
        <v>2.0002599999999999</v>
      </c>
      <c r="GP8" s="3">
        <f t="shared" si="21"/>
        <v>1.5624285667367315</v>
      </c>
      <c r="GQ8" s="35">
        <f t="shared" si="22"/>
        <v>67</v>
      </c>
      <c r="GR8" s="35">
        <f t="shared" si="23"/>
        <v>44</v>
      </c>
      <c r="GS8" s="35">
        <f t="shared" si="24"/>
        <v>111</v>
      </c>
    </row>
    <row r="9" spans="1:201" x14ac:dyDescent="0.35">
      <c r="A9" s="3" t="s">
        <v>8</v>
      </c>
      <c r="B9" s="3" t="s">
        <v>160</v>
      </c>
      <c r="C9" s="2" t="s">
        <v>142</v>
      </c>
      <c r="D9" s="2" t="s">
        <v>83</v>
      </c>
      <c r="E9" s="2" t="s">
        <v>107</v>
      </c>
      <c r="F9" s="3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30">
        <v>20</v>
      </c>
      <c r="T9" s="30">
        <v>28</v>
      </c>
      <c r="U9" s="30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30">
        <v>11</v>
      </c>
      <c r="AI9" s="30">
        <v>0</v>
      </c>
      <c r="AJ9" s="30">
        <f t="shared" si="6"/>
        <v>11</v>
      </c>
      <c r="AL9" s="14">
        <v>17.25</v>
      </c>
      <c r="AM9" s="17">
        <v>6.5549999999999997</v>
      </c>
      <c r="AN9" s="3">
        <v>-3.4780634932266583</v>
      </c>
      <c r="AO9" s="4">
        <f t="shared" si="7"/>
        <v>-0.53059702413831555</v>
      </c>
      <c r="AP9" s="3">
        <v>103114.73271558744</v>
      </c>
      <c r="AQ9" s="17">
        <v>9.73</v>
      </c>
      <c r="AR9" s="17">
        <f t="shared" si="8"/>
        <v>15607.142857142855</v>
      </c>
      <c r="AS9" s="4">
        <f t="shared" si="9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10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 t="shared" si="11"/>
        <v>51.75</v>
      </c>
      <c r="GG9" s="14">
        <f t="shared" si="12"/>
        <v>23.024999999999999</v>
      </c>
      <c r="GH9" s="14">
        <f t="shared" si="13"/>
        <v>-6.7905496625473543</v>
      </c>
      <c r="GI9" s="4">
        <f t="shared" si="14"/>
        <v>-0.29492072367198063</v>
      </c>
      <c r="GJ9" s="3">
        <f t="shared" si="15"/>
        <v>97287.621792400299</v>
      </c>
      <c r="GK9" s="3">
        <f t="shared" si="16"/>
        <v>10.39</v>
      </c>
      <c r="GL9" s="17">
        <f t="shared" si="17"/>
        <v>22797.029702970296</v>
      </c>
      <c r="GM9" s="4">
        <f t="shared" si="18"/>
        <v>0.49504950495049505</v>
      </c>
      <c r="GN9" s="3">
        <f t="shared" si="19"/>
        <v>1.5202020202020203</v>
      </c>
      <c r="GO9" s="14">
        <f t="shared" si="20"/>
        <v>5.5449999999999999</v>
      </c>
      <c r="GP9" s="3">
        <f t="shared" si="21"/>
        <v>0.7870062130117792</v>
      </c>
      <c r="GQ9" s="35">
        <f t="shared" si="22"/>
        <v>50</v>
      </c>
      <c r="GR9" s="35">
        <f t="shared" si="23"/>
        <v>51</v>
      </c>
      <c r="GS9" s="35">
        <f t="shared" si="24"/>
        <v>101</v>
      </c>
    </row>
    <row r="10" spans="1:201" x14ac:dyDescent="0.35">
      <c r="A10" s="3" t="s">
        <v>4</v>
      </c>
      <c r="B10" s="3" t="s">
        <v>160</v>
      </c>
      <c r="C10" s="2" t="s">
        <v>142</v>
      </c>
      <c r="D10" s="2" t="s">
        <v>83</v>
      </c>
      <c r="E10" s="2" t="s">
        <v>107</v>
      </c>
      <c r="F10" s="3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30">
        <v>3</v>
      </c>
      <c r="T10" s="30">
        <v>2</v>
      </c>
      <c r="U10" s="30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123</v>
      </c>
      <c r="AF10" s="3"/>
      <c r="AG10" s="7">
        <v>1.9044278846153846</v>
      </c>
      <c r="AH10" s="30">
        <v>4</v>
      </c>
      <c r="AI10" s="30">
        <v>5</v>
      </c>
      <c r="AJ10" s="30">
        <f t="shared" si="6"/>
        <v>9</v>
      </c>
      <c r="AL10" s="14">
        <v>4</v>
      </c>
      <c r="AM10" s="17">
        <v>4.3313845999999998</v>
      </c>
      <c r="AN10" s="3">
        <v>1.617032034130375</v>
      </c>
      <c r="AO10" s="4">
        <f t="shared" si="7"/>
        <v>0.37332912762592707</v>
      </c>
      <c r="AP10" s="3">
        <v>130497.71951296274</v>
      </c>
      <c r="AQ10" s="17">
        <v>2.08</v>
      </c>
      <c r="AR10" s="17">
        <f t="shared" si="8"/>
        <v>54142.307499999995</v>
      </c>
      <c r="AS10" s="4">
        <f t="shared" si="9"/>
        <v>0.625</v>
      </c>
      <c r="AT10" s="3"/>
      <c r="AU10" s="3"/>
      <c r="AV10" s="7"/>
      <c r="AW10" s="8">
        <v>5</v>
      </c>
      <c r="AX10" s="8">
        <v>3</v>
      </c>
      <c r="AY10" s="8">
        <f t="shared" si="10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 t="shared" si="11"/>
        <v>10</v>
      </c>
      <c r="GG10" s="14">
        <f t="shared" si="12"/>
        <v>11.020519100000001</v>
      </c>
      <c r="GH10" s="14">
        <f t="shared" si="13"/>
        <v>3.148041705046051</v>
      </c>
      <c r="GI10" s="4">
        <f t="shared" si="14"/>
        <v>0.28565276068039758</v>
      </c>
      <c r="GJ10" s="3">
        <f t="shared" si="15"/>
        <v>128093.81590962828</v>
      </c>
      <c r="GK10" s="3">
        <f t="shared" si="16"/>
        <v>2.0733333333333337</v>
      </c>
      <c r="GL10" s="17">
        <f t="shared" si="17"/>
        <v>50093.268636363639</v>
      </c>
      <c r="GM10" s="4">
        <f t="shared" si="18"/>
        <v>0.54545454545454541</v>
      </c>
      <c r="GN10" s="3">
        <f t="shared" si="19"/>
        <v>1.5</v>
      </c>
      <c r="GO10" s="14">
        <f t="shared" si="20"/>
        <v>0</v>
      </c>
      <c r="GP10" s="3">
        <f t="shared" si="21"/>
        <v>1.6143304471620614</v>
      </c>
      <c r="GQ10" s="35">
        <f t="shared" si="22"/>
        <v>12</v>
      </c>
      <c r="GR10" s="35">
        <f t="shared" si="23"/>
        <v>10</v>
      </c>
      <c r="GS10" s="35">
        <f t="shared" si="24"/>
        <v>22</v>
      </c>
    </row>
    <row r="11" spans="1:201" x14ac:dyDescent="0.35">
      <c r="A11" s="3" t="s">
        <v>9</v>
      </c>
      <c r="B11" s="3" t="s">
        <v>160</v>
      </c>
      <c r="C11" s="2" t="s">
        <v>142</v>
      </c>
      <c r="D11" s="2" t="s">
        <v>83</v>
      </c>
      <c r="E11" s="2" t="s">
        <v>107</v>
      </c>
      <c r="F11" s="3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30">
        <v>26</v>
      </c>
      <c r="T11" s="30">
        <v>29</v>
      </c>
      <c r="U11" s="30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30">
        <v>13</v>
      </c>
      <c r="AI11" s="30">
        <v>22</v>
      </c>
      <c r="AJ11" s="30">
        <f t="shared" si="6"/>
        <v>35</v>
      </c>
      <c r="AL11" s="14">
        <v>17.166666666666668</v>
      </c>
      <c r="AM11" s="17">
        <v>10.82</v>
      </c>
      <c r="AN11" s="3">
        <v>0.29073057805255054</v>
      </c>
      <c r="AO11" s="4">
        <f t="shared" si="7"/>
        <v>2.6869739191548107E-2</v>
      </c>
      <c r="AP11" s="3">
        <v>89763.592684973992</v>
      </c>
      <c r="AQ11" s="17">
        <v>11.73</v>
      </c>
      <c r="AR11" s="17">
        <f t="shared" si="8"/>
        <v>18338.983050847459</v>
      </c>
      <c r="AS11" s="4">
        <f t="shared" si="9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10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 t="shared" si="11"/>
        <v>51.5</v>
      </c>
      <c r="GG11" s="14">
        <f t="shared" si="12"/>
        <v>32.849999999999994</v>
      </c>
      <c r="GH11" s="14">
        <f t="shared" si="13"/>
        <v>1.4264357513339863</v>
      </c>
      <c r="GI11" s="4">
        <f t="shared" si="14"/>
        <v>4.3422701714885437E-2</v>
      </c>
      <c r="GJ11" s="3">
        <f t="shared" si="15"/>
        <v>91629.271490409505</v>
      </c>
      <c r="GK11" s="3">
        <f t="shared" si="16"/>
        <v>11.39</v>
      </c>
      <c r="GL11" s="17">
        <f t="shared" si="17"/>
        <v>22046.979865771806</v>
      </c>
      <c r="GM11" s="4">
        <f t="shared" si="18"/>
        <v>0.42281879194630873</v>
      </c>
      <c r="GN11" s="3">
        <f t="shared" si="19"/>
        <v>1.9874686716791981</v>
      </c>
      <c r="GO11" s="14">
        <f t="shared" si="20"/>
        <v>14.474999999999998</v>
      </c>
      <c r="GP11" s="3">
        <f t="shared" si="21"/>
        <v>0.99096740145333495</v>
      </c>
      <c r="GQ11" s="35">
        <f t="shared" si="22"/>
        <v>63</v>
      </c>
      <c r="GR11" s="35">
        <f t="shared" si="23"/>
        <v>86</v>
      </c>
      <c r="GS11" s="35">
        <f t="shared" si="24"/>
        <v>149</v>
      </c>
    </row>
    <row r="12" spans="1:201" x14ac:dyDescent="0.35">
      <c r="A12" s="3" t="s">
        <v>40</v>
      </c>
      <c r="B12" s="3" t="s">
        <v>160</v>
      </c>
      <c r="C12" s="2" t="s">
        <v>145</v>
      </c>
      <c r="D12" s="2" t="s">
        <v>145</v>
      </c>
      <c r="E12" s="2" t="s">
        <v>107</v>
      </c>
      <c r="F12" s="3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30">
        <v>271</v>
      </c>
      <c r="T12" s="30">
        <v>60</v>
      </c>
      <c r="U12" s="30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30">
        <v>152</v>
      </c>
      <c r="AI12" s="30">
        <v>79</v>
      </c>
      <c r="AJ12" s="30">
        <f t="shared" si="6"/>
        <v>231</v>
      </c>
      <c r="AL12" s="14">
        <v>103.101392</v>
      </c>
      <c r="AM12" s="17">
        <f>165-17.6</f>
        <v>147.4</v>
      </c>
      <c r="AN12" s="3">
        <v>71.393180810073645</v>
      </c>
      <c r="AO12" s="4">
        <f t="shared" si="7"/>
        <v>0.48434993765314549</v>
      </c>
      <c r="AP12" s="3">
        <v>134763.86381192616</v>
      </c>
      <c r="AQ12" s="17">
        <v>56.4</v>
      </c>
      <c r="AR12" s="17">
        <f t="shared" si="8"/>
        <v>102361.11111111112</v>
      </c>
      <c r="AS12" s="4">
        <f t="shared" si="9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10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 t="shared" si="11"/>
        <v>329.30417599999998</v>
      </c>
      <c r="GG12" s="14">
        <f t="shared" si="12"/>
        <v>473.96917999999994</v>
      </c>
      <c r="GH12" s="14">
        <f t="shared" si="13"/>
        <v>251.64043385943484</v>
      </c>
      <c r="GI12" s="4">
        <f t="shared" si="14"/>
        <v>0.53092151236380991</v>
      </c>
      <c r="GJ12" s="3">
        <f t="shared" si="15"/>
        <v>133869.14081158335</v>
      </c>
      <c r="GK12" s="3">
        <f t="shared" si="16"/>
        <v>55.733333333333327</v>
      </c>
      <c r="GL12" s="17">
        <f t="shared" si="17"/>
        <v>67134.444759206788</v>
      </c>
      <c r="GM12" s="4">
        <f t="shared" si="18"/>
        <v>0.74220963172804533</v>
      </c>
      <c r="GN12" s="3">
        <f t="shared" si="19"/>
        <v>5.5041827712182982</v>
      </c>
      <c r="GO12" s="14">
        <f t="shared" si="20"/>
        <v>0</v>
      </c>
      <c r="GP12" s="3">
        <f t="shared" si="21"/>
        <v>2.9542953679078012</v>
      </c>
      <c r="GQ12" s="35">
        <f t="shared" si="22"/>
        <v>524</v>
      </c>
      <c r="GR12" s="35">
        <f t="shared" si="23"/>
        <v>182</v>
      </c>
      <c r="GS12" s="35">
        <f t="shared" si="24"/>
        <v>706</v>
      </c>
    </row>
    <row r="13" spans="1:201" x14ac:dyDescent="0.35">
      <c r="A13" s="3" t="s">
        <v>41</v>
      </c>
      <c r="B13" s="3" t="s">
        <v>161</v>
      </c>
      <c r="C13" s="2" t="s">
        <v>146</v>
      </c>
      <c r="D13" s="2" t="s">
        <v>154</v>
      </c>
      <c r="E13" s="2" t="s">
        <v>107</v>
      </c>
      <c r="F13" s="3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30">
        <v>4</v>
      </c>
      <c r="T13" s="30">
        <v>0</v>
      </c>
      <c r="U13" s="30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30">
        <v>1</v>
      </c>
      <c r="AI13" s="30">
        <v>2</v>
      </c>
      <c r="AJ13" s="30">
        <f t="shared" si="6"/>
        <v>3</v>
      </c>
      <c r="AL13" s="14">
        <v>9</v>
      </c>
      <c r="AM13" s="17">
        <v>1.99797</v>
      </c>
      <c r="AN13" s="3">
        <v>-2.7926283636363638</v>
      </c>
      <c r="AO13" s="4">
        <f t="shared" si="7"/>
        <v>-1.3977328806920843</v>
      </c>
      <c r="AP13" s="3">
        <v>191623.93454545454</v>
      </c>
      <c r="AQ13" s="17">
        <v>2.5</v>
      </c>
      <c r="AR13" s="17">
        <f t="shared" si="8"/>
        <v>39959.4</v>
      </c>
      <c r="AS13" s="4">
        <f t="shared" si="9"/>
        <v>0</v>
      </c>
      <c r="AT13" s="3"/>
      <c r="AU13" s="3"/>
      <c r="AV13" s="7"/>
      <c r="AW13" s="8">
        <v>0</v>
      </c>
      <c r="AX13" s="8">
        <v>5</v>
      </c>
      <c r="AY13" s="8">
        <f t="shared" si="10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 t="shared" si="11"/>
        <v>27</v>
      </c>
      <c r="GG13" s="14">
        <f t="shared" si="12"/>
        <v>8.43797</v>
      </c>
      <c r="GH13" s="14">
        <f t="shared" si="13"/>
        <v>-5.8269868410243806</v>
      </c>
      <c r="GI13" s="4">
        <f t="shared" si="14"/>
        <v>-0.69056738066435186</v>
      </c>
      <c r="GJ13" s="3">
        <f t="shared" si="15"/>
        <v>192834.65510061375</v>
      </c>
      <c r="GK13" s="3">
        <f t="shared" si="16"/>
        <v>2.4466666666666668</v>
      </c>
      <c r="GL13" s="17">
        <f t="shared" si="17"/>
        <v>70316.416666666672</v>
      </c>
      <c r="GM13" s="4">
        <f t="shared" si="18"/>
        <v>0.41666666666666669</v>
      </c>
      <c r="GN13" s="3">
        <f t="shared" si="19"/>
        <v>2.5</v>
      </c>
      <c r="GO13" s="14">
        <f t="shared" si="20"/>
        <v>0</v>
      </c>
      <c r="GP13" s="3">
        <f t="shared" si="21"/>
        <v>1.3397606837606837</v>
      </c>
      <c r="GQ13" s="35">
        <f t="shared" si="22"/>
        <v>5</v>
      </c>
      <c r="GR13" s="35">
        <f t="shared" si="23"/>
        <v>7</v>
      </c>
      <c r="GS13" s="35">
        <f t="shared" si="24"/>
        <v>12</v>
      </c>
    </row>
    <row r="14" spans="1:201" x14ac:dyDescent="0.35">
      <c r="A14" s="3" t="s">
        <v>13</v>
      </c>
      <c r="B14" s="3" t="s">
        <v>160</v>
      </c>
      <c r="C14" s="2" t="s">
        <v>142</v>
      </c>
      <c r="D14" s="2" t="s">
        <v>83</v>
      </c>
      <c r="E14" s="2" t="s">
        <v>107</v>
      </c>
      <c r="F14" s="3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30">
        <v>5</v>
      </c>
      <c r="T14" s="30">
        <v>0</v>
      </c>
      <c r="U14" s="30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30">
        <v>0</v>
      </c>
      <c r="AI14" s="30">
        <v>0</v>
      </c>
      <c r="AJ14" s="30">
        <f t="shared" si="6"/>
        <v>0</v>
      </c>
      <c r="AL14" s="14">
        <v>0</v>
      </c>
      <c r="AM14" s="17">
        <v>0</v>
      </c>
      <c r="AN14" s="3">
        <v>-3.7802560607327944</v>
      </c>
      <c r="AO14" s="4">
        <f t="shared" si="7"/>
        <v>0</v>
      </c>
      <c r="AP14" s="3">
        <v>75154.196038425347</v>
      </c>
      <c r="AQ14" s="17">
        <v>5.0299999999999994</v>
      </c>
      <c r="AR14" s="17">
        <f t="shared" si="8"/>
        <v>0</v>
      </c>
      <c r="AS14" s="4">
        <f t="shared" si="9"/>
        <v>0</v>
      </c>
      <c r="AT14" s="3"/>
      <c r="AU14" s="3"/>
      <c r="AV14" s="7"/>
      <c r="AW14" s="8">
        <v>0</v>
      </c>
      <c r="AX14" s="8">
        <v>0</v>
      </c>
      <c r="AY14" s="8">
        <f t="shared" si="10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 t="shared" si="11"/>
        <v>0</v>
      </c>
      <c r="GG14" s="14">
        <f t="shared" si="12"/>
        <v>0.9</v>
      </c>
      <c r="GH14" s="14">
        <f t="shared" si="13"/>
        <v>-11.669174077709041</v>
      </c>
      <c r="GI14" s="4">
        <f t="shared" si="14"/>
        <v>-12.965748975232268</v>
      </c>
      <c r="GJ14" s="3">
        <f t="shared" si="15"/>
        <v>74779.9855163264</v>
      </c>
      <c r="GK14" s="3">
        <f t="shared" si="16"/>
        <v>5.3733333333333322</v>
      </c>
      <c r="GL14" s="17">
        <f t="shared" si="17"/>
        <v>18000</v>
      </c>
      <c r="GM14" s="4">
        <f t="shared" si="18"/>
        <v>1</v>
      </c>
      <c r="GN14" s="3">
        <f t="shared" si="19"/>
        <v>0.5</v>
      </c>
      <c r="GO14" s="14">
        <f t="shared" si="20"/>
        <v>0</v>
      </c>
      <c r="GP14" s="3">
        <f t="shared" si="21"/>
        <v>7.4257425742574254E-2</v>
      </c>
      <c r="GQ14" s="35">
        <f t="shared" si="22"/>
        <v>5</v>
      </c>
      <c r="GR14" s="35">
        <f t="shared" si="23"/>
        <v>0</v>
      </c>
      <c r="GS14" s="35">
        <f t="shared" si="24"/>
        <v>5</v>
      </c>
    </row>
    <row r="15" spans="1:201" x14ac:dyDescent="0.35">
      <c r="A15" s="3" t="s">
        <v>23</v>
      </c>
      <c r="B15" s="3" t="s">
        <v>160</v>
      </c>
      <c r="C15" s="2" t="s">
        <v>142</v>
      </c>
      <c r="D15" s="2" t="s">
        <v>84</v>
      </c>
      <c r="E15" s="2" t="s">
        <v>107</v>
      </c>
      <c r="F15" s="3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30">
        <v>0</v>
      </c>
      <c r="T15" s="30">
        <v>0</v>
      </c>
      <c r="U15" s="30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30"/>
      <c r="AI15" s="30">
        <v>0</v>
      </c>
      <c r="AJ15" s="30">
        <f t="shared" si="6"/>
        <v>0</v>
      </c>
      <c r="AL15" s="14">
        <v>0</v>
      </c>
      <c r="AM15" s="17">
        <v>0</v>
      </c>
      <c r="AN15" s="3">
        <v>0</v>
      </c>
      <c r="AO15" s="4">
        <f t="shared" si="7"/>
        <v>0</v>
      </c>
      <c r="AP15" s="3">
        <v>0</v>
      </c>
      <c r="AQ15" s="17">
        <v>0</v>
      </c>
      <c r="AR15" s="17">
        <f t="shared" si="8"/>
        <v>0</v>
      </c>
      <c r="AS15" s="4">
        <f t="shared" si="9"/>
        <v>0</v>
      </c>
      <c r="AT15" s="3"/>
      <c r="AU15" s="3"/>
      <c r="AV15" s="7"/>
      <c r="AW15" s="8">
        <v>0</v>
      </c>
      <c r="AX15" s="8">
        <v>0</v>
      </c>
      <c r="AY15" s="8">
        <f t="shared" si="10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 t="shared" si="11"/>
        <v>0</v>
      </c>
      <c r="GG15" s="14">
        <f t="shared" si="12"/>
        <v>0</v>
      </c>
      <c r="GH15" s="14">
        <f t="shared" si="13"/>
        <v>0</v>
      </c>
      <c r="GI15" s="4">
        <f t="shared" si="14"/>
        <v>0</v>
      </c>
      <c r="GJ15" s="3">
        <f t="shared" si="15"/>
        <v>0</v>
      </c>
      <c r="GK15" s="3">
        <f t="shared" si="16"/>
        <v>0</v>
      </c>
      <c r="GL15" s="17" t="e">
        <f t="shared" si="17"/>
        <v>#DIV/0!</v>
      </c>
      <c r="GM15" s="4" t="e">
        <f t="shared" si="18"/>
        <v>#DIV/0!</v>
      </c>
      <c r="GN15" s="3" t="e">
        <f t="shared" si="19"/>
        <v>#DIV/0!</v>
      </c>
      <c r="GO15" s="14">
        <f t="shared" si="20"/>
        <v>0</v>
      </c>
      <c r="GP15" s="3">
        <f t="shared" si="21"/>
        <v>0</v>
      </c>
      <c r="GQ15" s="35">
        <f t="shared" si="22"/>
        <v>0</v>
      </c>
      <c r="GR15" s="35">
        <f t="shared" si="23"/>
        <v>0</v>
      </c>
      <c r="GS15" s="35">
        <f t="shared" si="24"/>
        <v>0</v>
      </c>
    </row>
    <row r="16" spans="1:201" x14ac:dyDescent="0.35">
      <c r="A16" s="3" t="s">
        <v>42</v>
      </c>
      <c r="B16" s="3" t="s">
        <v>160</v>
      </c>
      <c r="C16" s="2" t="s">
        <v>146</v>
      </c>
      <c r="D16" s="2" t="s">
        <v>150</v>
      </c>
      <c r="E16" s="2" t="s">
        <v>107</v>
      </c>
      <c r="F16" s="3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30">
        <v>13</v>
      </c>
      <c r="T16" s="30">
        <v>0</v>
      </c>
      <c r="U16" s="30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30">
        <v>15</v>
      </c>
      <c r="AI16" s="30">
        <v>0</v>
      </c>
      <c r="AJ16" s="30">
        <f t="shared" si="6"/>
        <v>15</v>
      </c>
      <c r="AL16" s="14">
        <v>5</v>
      </c>
      <c r="AM16" s="17">
        <v>3.42</v>
      </c>
      <c r="AN16" s="3">
        <v>0.13865212473861246</v>
      </c>
      <c r="AO16" s="4">
        <f t="shared" si="7"/>
        <v>4.0541556941114755E-2</v>
      </c>
      <c r="AP16" s="3">
        <v>93752.796436039644</v>
      </c>
      <c r="AQ16" s="17">
        <v>3.5</v>
      </c>
      <c r="AR16" s="17">
        <f t="shared" si="8"/>
        <v>48857.142857142855</v>
      </c>
      <c r="AS16" s="4">
        <f t="shared" si="9"/>
        <v>1</v>
      </c>
      <c r="AT16" s="3"/>
      <c r="AU16" s="3"/>
      <c r="AV16" s="7"/>
      <c r="AW16" s="8">
        <v>7</v>
      </c>
      <c r="AX16" s="8">
        <v>0</v>
      </c>
      <c r="AY16" s="8">
        <f t="shared" si="10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 t="shared" si="11"/>
        <v>12</v>
      </c>
      <c r="GG16" s="14">
        <f t="shared" si="12"/>
        <v>12.639860000000001</v>
      </c>
      <c r="GH16" s="14">
        <f t="shared" si="13"/>
        <v>2.8513676006470727</v>
      </c>
      <c r="GI16" s="4">
        <f t="shared" si="14"/>
        <v>0.22558537837025669</v>
      </c>
      <c r="GJ16" s="3">
        <f t="shared" si="15"/>
        <v>93608.551426538543</v>
      </c>
      <c r="GK16" s="3">
        <f t="shared" si="16"/>
        <v>3.5</v>
      </c>
      <c r="GL16" s="17">
        <f t="shared" si="17"/>
        <v>36113.885714285716</v>
      </c>
      <c r="GM16" s="4">
        <f t="shared" si="18"/>
        <v>1</v>
      </c>
      <c r="GN16" s="3">
        <f t="shared" si="19"/>
        <v>7</v>
      </c>
      <c r="GO16" s="14">
        <f t="shared" si="20"/>
        <v>0</v>
      </c>
      <c r="GP16" s="3">
        <f t="shared" si="21"/>
        <v>1.3171228571428573</v>
      </c>
      <c r="GQ16" s="35">
        <f t="shared" si="22"/>
        <v>35</v>
      </c>
      <c r="GR16" s="35">
        <f t="shared" si="23"/>
        <v>0</v>
      </c>
      <c r="GS16" s="35">
        <f t="shared" si="24"/>
        <v>35</v>
      </c>
    </row>
    <row r="17" spans="1:201" x14ac:dyDescent="0.35">
      <c r="A17" s="3" t="s">
        <v>10</v>
      </c>
      <c r="B17" s="3" t="s">
        <v>160</v>
      </c>
      <c r="C17" s="2" t="s">
        <v>142</v>
      </c>
      <c r="D17" s="2" t="s">
        <v>153</v>
      </c>
      <c r="E17" s="2" t="s">
        <v>107</v>
      </c>
      <c r="F17" s="3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30">
        <v>140</v>
      </c>
      <c r="T17" s="30">
        <v>111</v>
      </c>
      <c r="U17" s="30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30">
        <v>118</v>
      </c>
      <c r="AI17" s="30">
        <v>115</v>
      </c>
      <c r="AJ17" s="30">
        <f t="shared" si="6"/>
        <v>233</v>
      </c>
      <c r="AL17" s="14">
        <v>100</v>
      </c>
      <c r="AM17" s="17">
        <v>118.71966999999999</v>
      </c>
      <c r="AN17" s="3">
        <v>35.557769311755607</v>
      </c>
      <c r="AO17" s="4">
        <f t="shared" si="7"/>
        <v>0.29951034493067247</v>
      </c>
      <c r="AP17" s="3">
        <v>101789.35212759412</v>
      </c>
      <c r="AQ17" s="17">
        <v>81.7</v>
      </c>
      <c r="AR17" s="17">
        <f t="shared" si="8"/>
        <v>36755.31578947368</v>
      </c>
      <c r="AS17" s="4">
        <f t="shared" si="9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10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 t="shared" si="11"/>
        <v>305</v>
      </c>
      <c r="GG17" s="14">
        <f t="shared" si="12"/>
        <v>343.12753229999998</v>
      </c>
      <c r="GH17" s="14">
        <f t="shared" si="13"/>
        <v>99.757241948554125</v>
      </c>
      <c r="GI17" s="4">
        <f t="shared" si="14"/>
        <v>0.29072934276033358</v>
      </c>
      <c r="GJ17" s="3">
        <f t="shared" si="15"/>
        <v>101094.78620424213</v>
      </c>
      <c r="GK17" s="3">
        <f t="shared" si="16"/>
        <v>80.62</v>
      </c>
      <c r="GL17" s="17">
        <f t="shared" si="17"/>
        <v>42518.901152416358</v>
      </c>
      <c r="GM17" s="4">
        <f t="shared" si="18"/>
        <v>0.48203221809169766</v>
      </c>
      <c r="GN17" s="3">
        <f t="shared" si="19"/>
        <v>1.86039768019884</v>
      </c>
      <c r="GO17" s="14">
        <f t="shared" si="20"/>
        <v>0</v>
      </c>
      <c r="GP17" s="3">
        <f t="shared" si="21"/>
        <v>1.4035927453229875</v>
      </c>
      <c r="GQ17" s="35">
        <f t="shared" si="22"/>
        <v>389</v>
      </c>
      <c r="GR17" s="35">
        <f t="shared" si="23"/>
        <v>418</v>
      </c>
      <c r="GS17" s="35">
        <f t="shared" si="24"/>
        <v>807</v>
      </c>
    </row>
    <row r="18" spans="1:201" x14ac:dyDescent="0.35">
      <c r="A18" s="3" t="s">
        <v>20</v>
      </c>
      <c r="B18" s="3" t="s">
        <v>160</v>
      </c>
      <c r="C18" s="2" t="s">
        <v>142</v>
      </c>
      <c r="D18" s="2" t="s">
        <v>84</v>
      </c>
      <c r="E18" s="2" t="s">
        <v>107</v>
      </c>
      <c r="F18" s="3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30">
        <v>2</v>
      </c>
      <c r="T18" s="30">
        <v>7</v>
      </c>
      <c r="U18" s="30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30">
        <v>2</v>
      </c>
      <c r="AI18" s="30">
        <v>6</v>
      </c>
      <c r="AJ18" s="30">
        <f t="shared" si="6"/>
        <v>8</v>
      </c>
      <c r="AL18" s="14">
        <v>30</v>
      </c>
      <c r="AM18" s="17">
        <v>49.19</v>
      </c>
      <c r="AN18" s="3">
        <v>36.299577170651872</v>
      </c>
      <c r="AO18" s="4">
        <f t="shared" si="7"/>
        <v>0.73794627303622429</v>
      </c>
      <c r="AP18" s="3">
        <v>123946.37335911657</v>
      </c>
      <c r="AQ18" s="17">
        <v>10.4</v>
      </c>
      <c r="AR18" s="17">
        <f t="shared" si="8"/>
        <v>546555.5555555555</v>
      </c>
      <c r="AS18" s="4">
        <f t="shared" si="9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10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 t="shared" si="11"/>
        <v>70</v>
      </c>
      <c r="GG18" s="14">
        <f t="shared" si="12"/>
        <v>69.805023500000004</v>
      </c>
      <c r="GH18" s="14">
        <f t="shared" si="13"/>
        <v>31.883952942077549</v>
      </c>
      <c r="GI18" s="4">
        <f t="shared" si="14"/>
        <v>0.45675728398082333</v>
      </c>
      <c r="GJ18" s="3">
        <f t="shared" si="15"/>
        <v>119633.14383413094</v>
      </c>
      <c r="GK18" s="3">
        <f t="shared" si="16"/>
        <v>10.6</v>
      </c>
      <c r="GL18" s="17">
        <f t="shared" si="17"/>
        <v>268480.8596153846</v>
      </c>
      <c r="GM18" s="4">
        <f t="shared" si="18"/>
        <v>0.34615384615384615</v>
      </c>
      <c r="GN18" s="3">
        <f t="shared" si="19"/>
        <v>0.58333333333333326</v>
      </c>
      <c r="GO18" s="14">
        <f t="shared" si="20"/>
        <v>0</v>
      </c>
      <c r="GP18" s="3">
        <f t="shared" si="21"/>
        <v>0.97487138111888105</v>
      </c>
      <c r="GQ18" s="35">
        <f t="shared" si="22"/>
        <v>9</v>
      </c>
      <c r="GR18" s="35">
        <f t="shared" si="23"/>
        <v>17</v>
      </c>
      <c r="GS18" s="35">
        <f t="shared" si="24"/>
        <v>26</v>
      </c>
    </row>
    <row r="19" spans="1:201" x14ac:dyDescent="0.35">
      <c r="A19" s="3" t="s">
        <v>43</v>
      </c>
      <c r="B19" s="3" t="s">
        <v>161</v>
      </c>
      <c r="C19" s="2" t="s">
        <v>143</v>
      </c>
      <c r="D19" s="2" t="s">
        <v>155</v>
      </c>
      <c r="E19" s="2" t="s">
        <v>107</v>
      </c>
      <c r="F19" s="3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30">
        <v>62</v>
      </c>
      <c r="T19" s="30">
        <v>0</v>
      </c>
      <c r="U19" s="30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30">
        <v>51</v>
      </c>
      <c r="AI19" s="30">
        <v>0</v>
      </c>
      <c r="AJ19" s="30">
        <f t="shared" si="6"/>
        <v>51</v>
      </c>
      <c r="AL19" s="14">
        <v>50</v>
      </c>
      <c r="AM19" s="17">
        <v>22</v>
      </c>
      <c r="AN19" s="3">
        <v>1.5482345527272723</v>
      </c>
      <c r="AO19" s="4">
        <f t="shared" si="7"/>
        <v>7.0374297851239651E-2</v>
      </c>
      <c r="AP19" s="3">
        <v>115874.02519701263</v>
      </c>
      <c r="AQ19" s="17">
        <v>17.649999999999999</v>
      </c>
      <c r="AR19" s="17">
        <f t="shared" si="8"/>
        <v>115789.47368421053</v>
      </c>
      <c r="AS19" s="4">
        <f t="shared" si="9"/>
        <v>1</v>
      </c>
      <c r="AT19" s="3"/>
      <c r="AU19" s="3"/>
      <c r="AV19" s="7"/>
      <c r="AW19" s="8">
        <v>19</v>
      </c>
      <c r="AX19" s="8">
        <v>0</v>
      </c>
      <c r="AY19" s="8">
        <f t="shared" si="10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 t="shared" si="11"/>
        <v>150</v>
      </c>
      <c r="GG19" s="14">
        <f t="shared" si="12"/>
        <v>96.987499999999997</v>
      </c>
      <c r="GH19" s="14">
        <f t="shared" si="13"/>
        <v>35.206890305073323</v>
      </c>
      <c r="GI19" s="4">
        <f t="shared" si="14"/>
        <v>0.36300441092999947</v>
      </c>
      <c r="GJ19" s="3">
        <f t="shared" si="15"/>
        <v>118116.45988667203</v>
      </c>
      <c r="GK19" s="3">
        <f t="shared" si="16"/>
        <v>17.499999999999996</v>
      </c>
      <c r="GL19" s="17">
        <f t="shared" si="17"/>
        <v>73475.378787878784</v>
      </c>
      <c r="GM19" s="4">
        <f t="shared" si="18"/>
        <v>1</v>
      </c>
      <c r="GN19" s="3">
        <f t="shared" si="19"/>
        <v>3.8313725490196084</v>
      </c>
      <c r="GO19" s="14">
        <f t="shared" si="20"/>
        <v>0.63749999999999996</v>
      </c>
      <c r="GP19" s="3">
        <f t="shared" si="21"/>
        <v>2.1539287420119906</v>
      </c>
      <c r="GQ19" s="35">
        <f t="shared" si="22"/>
        <v>132</v>
      </c>
      <c r="GR19" s="35">
        <f t="shared" si="23"/>
        <v>0</v>
      </c>
      <c r="GS19" s="35">
        <f t="shared" si="24"/>
        <v>132</v>
      </c>
    </row>
    <row r="20" spans="1:201" x14ac:dyDescent="0.35">
      <c r="A20" s="3" t="s">
        <v>11</v>
      </c>
      <c r="B20" s="3" t="s">
        <v>160</v>
      </c>
      <c r="C20" s="2" t="s">
        <v>142</v>
      </c>
      <c r="D20" s="2" t="s">
        <v>83</v>
      </c>
      <c r="E20" s="2" t="s">
        <v>107</v>
      </c>
      <c r="F20" s="3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30">
        <v>8</v>
      </c>
      <c r="T20" s="30">
        <v>16</v>
      </c>
      <c r="U20" s="30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30">
        <v>19</v>
      </c>
      <c r="AI20" s="30">
        <v>8</v>
      </c>
      <c r="AJ20" s="30">
        <f t="shared" si="6"/>
        <v>27</v>
      </c>
      <c r="AL20" s="14">
        <v>6.703333333333334</v>
      </c>
      <c r="AM20" s="17">
        <v>6.83</v>
      </c>
      <c r="AN20" s="3">
        <v>0.54804836421492886</v>
      </c>
      <c r="AO20" s="4">
        <f t="shared" si="7"/>
        <v>8.0241341759140383E-2</v>
      </c>
      <c r="AP20" s="3">
        <v>109632.66380078658</v>
      </c>
      <c r="AQ20" s="17">
        <v>5.73</v>
      </c>
      <c r="AR20" s="17">
        <f t="shared" si="8"/>
        <v>48785.71428571429</v>
      </c>
      <c r="AS20" s="4">
        <f t="shared" si="9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10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 t="shared" si="11"/>
        <v>20.110000000000003</v>
      </c>
      <c r="GG20" s="14">
        <f t="shared" si="12"/>
        <v>30.900800000000004</v>
      </c>
      <c r="GH20" s="14">
        <f t="shared" si="13"/>
        <v>14.251600281048074</v>
      </c>
      <c r="GI20" s="4">
        <f t="shared" si="14"/>
        <v>0.46120489699451378</v>
      </c>
      <c r="GJ20" s="3">
        <f t="shared" si="15"/>
        <v>107961.34797080034</v>
      </c>
      <c r="GK20" s="3">
        <f t="shared" si="16"/>
        <v>5.2233333333333336</v>
      </c>
      <c r="GL20" s="17">
        <f t="shared" si="17"/>
        <v>47539.692307692319</v>
      </c>
      <c r="GM20" s="4">
        <f t="shared" si="18"/>
        <v>0.49230769230769234</v>
      </c>
      <c r="GN20" s="3">
        <f t="shared" si="19"/>
        <v>3.253968253968254</v>
      </c>
      <c r="GO20" s="14">
        <f t="shared" si="20"/>
        <v>17.080000000000002</v>
      </c>
      <c r="GP20" s="3">
        <f t="shared" si="21"/>
        <v>2.3206626788208906</v>
      </c>
      <c r="GQ20" s="35">
        <f t="shared" si="22"/>
        <v>32</v>
      </c>
      <c r="GR20" s="35">
        <f t="shared" si="23"/>
        <v>33</v>
      </c>
      <c r="GS20" s="35">
        <f t="shared" si="24"/>
        <v>65</v>
      </c>
    </row>
    <row r="21" spans="1:201" x14ac:dyDescent="0.35">
      <c r="A21" s="3" t="s">
        <v>12</v>
      </c>
      <c r="B21" s="3" t="s">
        <v>160</v>
      </c>
      <c r="C21" s="2" t="s">
        <v>142</v>
      </c>
      <c r="D21" s="2" t="s">
        <v>149</v>
      </c>
      <c r="E21" s="2" t="s">
        <v>107</v>
      </c>
      <c r="F21" s="3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30">
        <v>32</v>
      </c>
      <c r="T21" s="30">
        <v>10</v>
      </c>
      <c r="U21" s="30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30">
        <v>41</v>
      </c>
      <c r="AI21" s="30">
        <v>8</v>
      </c>
      <c r="AJ21" s="30">
        <f t="shared" si="6"/>
        <v>49</v>
      </c>
      <c r="AL21" s="14">
        <v>30</v>
      </c>
      <c r="AM21" s="17">
        <v>63.88</v>
      </c>
      <c r="AN21" s="3">
        <v>26.643768948813506</v>
      </c>
      <c r="AO21" s="4">
        <f t="shared" si="7"/>
        <v>0.41709093532895281</v>
      </c>
      <c r="AP21" s="3">
        <v>83526.763237295861</v>
      </c>
      <c r="AQ21" s="17">
        <v>44.58</v>
      </c>
      <c r="AR21" s="17">
        <f t="shared" si="8"/>
        <v>31160.975609756097</v>
      </c>
      <c r="AS21" s="4">
        <f t="shared" si="9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10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 t="shared" si="11"/>
        <v>90</v>
      </c>
      <c r="GG21" s="14">
        <f t="shared" si="12"/>
        <v>124.64298275000002</v>
      </c>
      <c r="GH21" s="14">
        <f t="shared" si="13"/>
        <v>16.42281761212919</v>
      </c>
      <c r="GI21" s="4">
        <f t="shared" si="14"/>
        <v>0.13175886239074447</v>
      </c>
      <c r="GJ21" s="3">
        <f t="shared" si="15"/>
        <v>84020.820324795684</v>
      </c>
      <c r="GK21" s="3">
        <f t="shared" si="16"/>
        <v>43.573333333333331</v>
      </c>
      <c r="GL21" s="17">
        <f t="shared" si="17"/>
        <v>42109.115793918922</v>
      </c>
      <c r="GM21" s="4">
        <f t="shared" si="18"/>
        <v>0.55743243243243246</v>
      </c>
      <c r="GN21" s="3">
        <f t="shared" si="19"/>
        <v>0.98317175781964505</v>
      </c>
      <c r="GO21" s="14">
        <f t="shared" si="20"/>
        <v>60.762982750000006</v>
      </c>
      <c r="GP21" s="3">
        <f t="shared" si="21"/>
        <v>0.70292318062368875</v>
      </c>
      <c r="GQ21" s="35">
        <f t="shared" si="22"/>
        <v>165</v>
      </c>
      <c r="GR21" s="35">
        <f t="shared" si="23"/>
        <v>131</v>
      </c>
      <c r="GS21" s="35">
        <f t="shared" si="24"/>
        <v>296</v>
      </c>
    </row>
    <row r="22" spans="1:201" x14ac:dyDescent="0.35">
      <c r="A22" s="3" t="s">
        <v>22</v>
      </c>
      <c r="B22" s="3" t="s">
        <v>160</v>
      </c>
      <c r="C22" s="2" t="s">
        <v>142</v>
      </c>
      <c r="D22" s="2" t="s">
        <v>149</v>
      </c>
      <c r="E22" s="2" t="s">
        <v>107</v>
      </c>
      <c r="F22" s="3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30">
        <v>0</v>
      </c>
      <c r="T22" s="30">
        <v>0</v>
      </c>
      <c r="U22" s="30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123</v>
      </c>
      <c r="AF22" s="3"/>
      <c r="AG22" s="7">
        <v>0</v>
      </c>
      <c r="AH22" s="30">
        <v>0</v>
      </c>
      <c r="AI22" s="30">
        <v>0</v>
      </c>
      <c r="AJ22" s="30">
        <f t="shared" si="6"/>
        <v>0</v>
      </c>
      <c r="AL22" s="14">
        <v>5</v>
      </c>
      <c r="AM22" s="17">
        <v>2.16</v>
      </c>
      <c r="AN22" s="3">
        <v>2.16</v>
      </c>
      <c r="AO22" s="4">
        <f t="shared" si="7"/>
        <v>1</v>
      </c>
      <c r="AP22" s="3">
        <v>0</v>
      </c>
      <c r="AQ22" s="17">
        <v>0</v>
      </c>
      <c r="AR22" s="17">
        <f t="shared" si="8"/>
        <v>108000</v>
      </c>
      <c r="AS22" s="4">
        <f t="shared" si="9"/>
        <v>0.5</v>
      </c>
      <c r="AT22" s="3"/>
      <c r="AU22" s="3"/>
      <c r="AV22" s="7"/>
      <c r="AW22" s="8">
        <v>1</v>
      </c>
      <c r="AX22" s="8">
        <v>1</v>
      </c>
      <c r="AY22" s="8">
        <f t="shared" si="10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 t="shared" si="11"/>
        <v>15</v>
      </c>
      <c r="GG22" s="14">
        <f t="shared" si="12"/>
        <v>2.2600000000000002</v>
      </c>
      <c r="GH22" s="14">
        <f t="shared" si="13"/>
        <v>2.2600000000000002</v>
      </c>
      <c r="GI22" s="4">
        <f t="shared" si="14"/>
        <v>1</v>
      </c>
      <c r="GJ22" s="3">
        <f t="shared" si="15"/>
        <v>0</v>
      </c>
      <c r="GK22" s="3">
        <f t="shared" si="16"/>
        <v>0</v>
      </c>
      <c r="GL22" s="17">
        <f t="shared" si="17"/>
        <v>113000.00000000001</v>
      </c>
      <c r="GM22" s="4">
        <f t="shared" si="18"/>
        <v>0.5</v>
      </c>
      <c r="GN22" s="3" t="e">
        <f t="shared" si="19"/>
        <v>#DIV/0!</v>
      </c>
      <c r="GO22" s="14">
        <f t="shared" si="20"/>
        <v>0.1</v>
      </c>
      <c r="GP22" s="3">
        <f t="shared" si="21"/>
        <v>0</v>
      </c>
      <c r="GQ22" s="35">
        <f t="shared" si="22"/>
        <v>1</v>
      </c>
      <c r="GR22" s="35">
        <f t="shared" si="23"/>
        <v>1</v>
      </c>
      <c r="GS22" s="35">
        <f t="shared" si="24"/>
        <v>2</v>
      </c>
    </row>
    <row r="23" spans="1:201" x14ac:dyDescent="0.35">
      <c r="A23" s="3" t="s">
        <v>44</v>
      </c>
      <c r="B23" s="3" t="s">
        <v>160</v>
      </c>
      <c r="C23" s="2" t="s">
        <v>146</v>
      </c>
      <c r="D23" s="2" t="s">
        <v>154</v>
      </c>
      <c r="E23" s="2" t="s">
        <v>107</v>
      </c>
      <c r="F23" s="3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30">
        <v>1</v>
      </c>
      <c r="T23" s="30">
        <v>0</v>
      </c>
      <c r="U23" s="30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123</v>
      </c>
      <c r="AF23" s="3">
        <v>1.7064900000000001</v>
      </c>
      <c r="AG23" s="7">
        <v>1.7064900000000001</v>
      </c>
      <c r="AH23" s="30">
        <v>1</v>
      </c>
      <c r="AI23" s="30">
        <v>1</v>
      </c>
      <c r="AJ23" s="30">
        <f t="shared" si="6"/>
        <v>2</v>
      </c>
      <c r="AL23" s="14">
        <v>1.3333333333333333</v>
      </c>
      <c r="AM23" s="17">
        <v>0</v>
      </c>
      <c r="AN23" s="3">
        <v>-0.41787796436039643</v>
      </c>
      <c r="AO23" s="4">
        <f t="shared" si="7"/>
        <v>0</v>
      </c>
      <c r="AP23" s="3">
        <v>41787.796436039644</v>
      </c>
      <c r="AQ23" s="17">
        <v>1</v>
      </c>
      <c r="AR23" s="17">
        <f t="shared" si="8"/>
        <v>0</v>
      </c>
      <c r="AS23" s="4">
        <f t="shared" si="9"/>
        <v>0</v>
      </c>
      <c r="AT23" s="3"/>
      <c r="AU23" s="3"/>
      <c r="AV23" s="7"/>
      <c r="AW23" s="8">
        <v>0</v>
      </c>
      <c r="AX23" s="8">
        <v>0</v>
      </c>
      <c r="AY23" s="8">
        <f t="shared" si="10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 t="shared" si="11"/>
        <v>4</v>
      </c>
      <c r="GG23" s="14">
        <f t="shared" si="12"/>
        <v>2.3909400000000001</v>
      </c>
      <c r="GH23" s="14">
        <f t="shared" si="13"/>
        <v>-1.106997232890411</v>
      </c>
      <c r="GI23" s="4">
        <f t="shared" si="14"/>
        <v>-0.46299665942700818</v>
      </c>
      <c r="GJ23" s="3">
        <f t="shared" si="15"/>
        <v>67814.956188443306</v>
      </c>
      <c r="GK23" s="3">
        <f t="shared" si="16"/>
        <v>1.3333333333333333</v>
      </c>
      <c r="GL23" s="17">
        <f t="shared" si="17"/>
        <v>79698</v>
      </c>
      <c r="GM23" s="4">
        <f t="shared" si="18"/>
        <v>0.66666666666666663</v>
      </c>
      <c r="GN23" s="3">
        <f t="shared" si="19"/>
        <v>1</v>
      </c>
      <c r="GO23" s="14">
        <f t="shared" si="20"/>
        <v>2.3909400000000001</v>
      </c>
      <c r="GP23" s="3">
        <f t="shared" si="21"/>
        <v>1.0243575</v>
      </c>
      <c r="GQ23" s="35">
        <f t="shared" si="22"/>
        <v>2</v>
      </c>
      <c r="GR23" s="35">
        <f t="shared" si="23"/>
        <v>1</v>
      </c>
      <c r="GS23" s="35">
        <f t="shared" si="24"/>
        <v>3</v>
      </c>
    </row>
    <row r="24" spans="1:201" x14ac:dyDescent="0.35">
      <c r="A24" s="3" t="s">
        <v>45</v>
      </c>
      <c r="B24" s="3" t="s">
        <v>161</v>
      </c>
      <c r="C24" s="2" t="s">
        <v>142</v>
      </c>
      <c r="D24" s="2" t="s">
        <v>127</v>
      </c>
      <c r="E24" s="2" t="s">
        <v>107</v>
      </c>
      <c r="F24" s="3" t="s">
        <v>85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30">
        <v>6</v>
      </c>
      <c r="T24" s="30">
        <v>0</v>
      </c>
      <c r="U24" s="30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30">
        <v>9</v>
      </c>
      <c r="AI24" s="30">
        <v>0</v>
      </c>
      <c r="AJ24" s="30">
        <f t="shared" si="6"/>
        <v>9</v>
      </c>
      <c r="AL24" s="14">
        <v>11</v>
      </c>
      <c r="AM24" s="17">
        <v>4.8499999999999996</v>
      </c>
      <c r="AN24" s="3">
        <v>-2.0254060727272734</v>
      </c>
      <c r="AO24" s="4">
        <f t="shared" si="7"/>
        <v>-0.41760949953139659</v>
      </c>
      <c r="AP24" s="3">
        <v>114590.10121212121</v>
      </c>
      <c r="AQ24" s="17">
        <v>6</v>
      </c>
      <c r="AR24" s="17">
        <f t="shared" si="8"/>
        <v>44090.909090909088</v>
      </c>
      <c r="AS24" s="4">
        <f t="shared" si="9"/>
        <v>1</v>
      </c>
      <c r="AT24" s="3"/>
      <c r="AU24" s="3"/>
      <c r="AV24" s="7"/>
      <c r="AW24" s="8">
        <v>11</v>
      </c>
      <c r="AX24" s="8">
        <v>0</v>
      </c>
      <c r="AY24" s="8">
        <f t="shared" si="10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 t="shared" si="11"/>
        <v>32</v>
      </c>
      <c r="GG24" s="14">
        <f t="shared" si="12"/>
        <v>8.9005700000000001</v>
      </c>
      <c r="GH24" s="14">
        <f t="shared" si="13"/>
        <v>-10.89973640560765</v>
      </c>
      <c r="GI24" s="4">
        <f t="shared" si="14"/>
        <v>-1.224611053630009</v>
      </c>
      <c r="GJ24" s="3">
        <f t="shared" si="15"/>
        <v>117469.21521457388</v>
      </c>
      <c r="GK24" s="3">
        <f t="shared" si="16"/>
        <v>5.666666666666667</v>
      </c>
      <c r="GL24" s="17">
        <f t="shared" si="17"/>
        <v>34232.961538461539</v>
      </c>
      <c r="GM24" s="4">
        <f t="shared" si="18"/>
        <v>1</v>
      </c>
      <c r="GN24" s="3">
        <f t="shared" si="19"/>
        <v>2.125</v>
      </c>
      <c r="GO24" s="14">
        <f t="shared" si="20"/>
        <v>2.4</v>
      </c>
      <c r="GP24" s="3">
        <f t="shared" si="21"/>
        <v>0.36505700000000002</v>
      </c>
      <c r="GQ24" s="35">
        <f t="shared" si="22"/>
        <v>26</v>
      </c>
      <c r="GR24" s="35">
        <f t="shared" si="23"/>
        <v>0</v>
      </c>
      <c r="GS24" s="35">
        <f t="shared" si="24"/>
        <v>26</v>
      </c>
    </row>
    <row r="25" spans="1:201" x14ac:dyDescent="0.35">
      <c r="A25" s="3" t="s">
        <v>3</v>
      </c>
      <c r="B25" s="3" t="s">
        <v>160</v>
      </c>
      <c r="C25" s="2" t="s">
        <v>142</v>
      </c>
      <c r="D25" s="2" t="s">
        <v>83</v>
      </c>
      <c r="E25" s="2" t="s">
        <v>107</v>
      </c>
      <c r="F25" s="3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30">
        <v>11</v>
      </c>
      <c r="T25" s="30">
        <v>3</v>
      </c>
      <c r="U25" s="30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30">
        <v>16</v>
      </c>
      <c r="AI25" s="30">
        <v>0</v>
      </c>
      <c r="AJ25" s="30">
        <f t="shared" si="6"/>
        <v>16</v>
      </c>
      <c r="AL25" s="14">
        <v>7</v>
      </c>
      <c r="AM25" s="17">
        <v>9.4522035000000013</v>
      </c>
      <c r="AN25" s="3">
        <v>3.6710170410491876</v>
      </c>
      <c r="AO25" s="4">
        <f t="shared" si="7"/>
        <v>0.38837685213285844</v>
      </c>
      <c r="AP25" s="3">
        <v>113802.88305021285</v>
      </c>
      <c r="AQ25" s="17">
        <v>5.08</v>
      </c>
      <c r="AR25" s="17">
        <f t="shared" si="8"/>
        <v>63014.69000000001</v>
      </c>
      <c r="AS25" s="4">
        <f t="shared" si="9"/>
        <v>0.8</v>
      </c>
      <c r="AT25" s="3"/>
      <c r="AU25" s="3"/>
      <c r="AV25" s="7"/>
      <c r="AW25" s="8">
        <v>12</v>
      </c>
      <c r="AX25" s="8">
        <v>3</v>
      </c>
      <c r="AY25" s="8">
        <f t="shared" si="10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 t="shared" si="11"/>
        <v>21</v>
      </c>
      <c r="GG25" s="14">
        <f t="shared" si="12"/>
        <v>28.285993500000004</v>
      </c>
      <c r="GH25" s="14">
        <f t="shared" si="13"/>
        <v>11.282212834172118</v>
      </c>
      <c r="GI25" s="4">
        <f t="shared" si="14"/>
        <v>0.39886217304589694</v>
      </c>
      <c r="GJ25" s="3">
        <f t="shared" si="15"/>
        <v>112604.65622371557</v>
      </c>
      <c r="GK25" s="3">
        <f t="shared" si="16"/>
        <v>5.0733333333333333</v>
      </c>
      <c r="GL25" s="17">
        <f t="shared" si="17"/>
        <v>62857.763333333336</v>
      </c>
      <c r="GM25" s="4">
        <f t="shared" si="18"/>
        <v>0.8666666666666667</v>
      </c>
      <c r="GN25" s="3">
        <f t="shared" si="19"/>
        <v>3.375</v>
      </c>
      <c r="GO25" s="14">
        <f t="shared" si="20"/>
        <v>0</v>
      </c>
      <c r="GP25" s="3">
        <f t="shared" si="21"/>
        <v>1.8576159199838163</v>
      </c>
      <c r="GQ25" s="35">
        <f t="shared" si="22"/>
        <v>39</v>
      </c>
      <c r="GR25" s="35">
        <f t="shared" si="23"/>
        <v>6</v>
      </c>
      <c r="GS25" s="35">
        <f t="shared" si="24"/>
        <v>45</v>
      </c>
    </row>
    <row r="26" spans="1:201" x14ac:dyDescent="0.35">
      <c r="A26" s="3" t="s">
        <v>46</v>
      </c>
      <c r="B26" s="3" t="s">
        <v>160</v>
      </c>
      <c r="C26" s="2" t="s">
        <v>146</v>
      </c>
      <c r="D26" s="2" t="s">
        <v>146</v>
      </c>
      <c r="E26" s="2" t="s">
        <v>107</v>
      </c>
      <c r="F26" s="3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30">
        <v>15</v>
      </c>
      <c r="T26" s="30">
        <v>7</v>
      </c>
      <c r="U26" s="30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30">
        <v>41</v>
      </c>
      <c r="AI26" s="30">
        <v>9</v>
      </c>
      <c r="AJ26" s="30">
        <f t="shared" si="6"/>
        <v>50</v>
      </c>
      <c r="AL26" s="14">
        <v>16</v>
      </c>
      <c r="AM26" s="17">
        <v>38</v>
      </c>
      <c r="AN26" s="3">
        <v>17.312926819165376</v>
      </c>
      <c r="AO26" s="4">
        <f t="shared" si="7"/>
        <v>0.45560333734645725</v>
      </c>
      <c r="AP26" s="3">
        <v>99744.808007881526</v>
      </c>
      <c r="AQ26" s="17">
        <v>20.74</v>
      </c>
      <c r="AR26" s="17">
        <f t="shared" si="8"/>
        <v>56716.417910447759</v>
      </c>
      <c r="AS26" s="4">
        <f t="shared" si="9"/>
        <v>0.82</v>
      </c>
      <c r="AT26" s="3"/>
      <c r="AU26" s="3"/>
      <c r="AV26" s="7"/>
      <c r="AW26" s="8">
        <v>54.94</v>
      </c>
      <c r="AX26" s="8">
        <v>12.06</v>
      </c>
      <c r="AY26" s="8">
        <f t="shared" si="10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 t="shared" si="11"/>
        <v>48</v>
      </c>
      <c r="GG26" s="14">
        <f t="shared" si="12"/>
        <v>96.052480000000003</v>
      </c>
      <c r="GH26" s="14">
        <f t="shared" si="13"/>
        <v>36.348466729728806</v>
      </c>
      <c r="GI26" s="4">
        <f t="shared" si="14"/>
        <v>0.37842299053318357</v>
      </c>
      <c r="GJ26" s="3">
        <f t="shared" si="15"/>
        <v>97229.874531023888</v>
      </c>
      <c r="GK26" s="3">
        <f t="shared" si="16"/>
        <v>20.726666666666663</v>
      </c>
      <c r="GL26" s="17">
        <f t="shared" si="17"/>
        <v>69102.503597122297</v>
      </c>
      <c r="GM26" s="4">
        <f t="shared" si="18"/>
        <v>0.79812949640287767</v>
      </c>
      <c r="GN26" s="3">
        <f t="shared" si="19"/>
        <v>1.4505884186735252</v>
      </c>
      <c r="GO26" s="14">
        <f t="shared" si="20"/>
        <v>0</v>
      </c>
      <c r="GP26" s="3">
        <f t="shared" si="21"/>
        <v>1.4006578750483325</v>
      </c>
      <c r="GQ26" s="35">
        <f t="shared" si="22"/>
        <v>110.94</v>
      </c>
      <c r="GR26" s="35">
        <f t="shared" si="23"/>
        <v>28.060000000000002</v>
      </c>
      <c r="GS26" s="35">
        <f t="shared" si="24"/>
        <v>139</v>
      </c>
    </row>
    <row r="27" spans="1:201" x14ac:dyDescent="0.35">
      <c r="A27" s="3" t="s">
        <v>63</v>
      </c>
      <c r="B27" s="3" t="s">
        <v>160</v>
      </c>
      <c r="C27" s="2" t="s">
        <v>146</v>
      </c>
      <c r="D27" s="2" t="s">
        <v>84</v>
      </c>
      <c r="E27" s="2" t="s">
        <v>107</v>
      </c>
      <c r="F27" s="3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30">
        <v>0</v>
      </c>
      <c r="T27" s="30">
        <v>0</v>
      </c>
      <c r="U27" s="30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123</v>
      </c>
      <c r="AF27" s="3"/>
      <c r="AG27" s="7">
        <v>0</v>
      </c>
      <c r="AH27" s="30">
        <v>0</v>
      </c>
      <c r="AI27" s="30">
        <v>0</v>
      </c>
      <c r="AJ27" s="30">
        <f t="shared" si="6"/>
        <v>0</v>
      </c>
      <c r="AL27" s="14">
        <v>3</v>
      </c>
      <c r="AM27" s="17">
        <v>0</v>
      </c>
      <c r="AN27" s="3">
        <v>0</v>
      </c>
      <c r="AO27" s="4">
        <f t="shared" si="7"/>
        <v>0</v>
      </c>
      <c r="AP27" s="3">
        <v>0</v>
      </c>
      <c r="AQ27" s="17">
        <v>0</v>
      </c>
      <c r="AR27" s="17">
        <f t="shared" si="8"/>
        <v>0</v>
      </c>
      <c r="AS27" s="4">
        <f t="shared" si="9"/>
        <v>0</v>
      </c>
      <c r="AT27" s="3"/>
      <c r="AU27" s="3"/>
      <c r="AV27" s="7"/>
      <c r="AW27" s="8">
        <v>0</v>
      </c>
      <c r="AX27" s="8">
        <v>0</v>
      </c>
      <c r="AY27" s="8">
        <f t="shared" si="10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 t="shared" si="11"/>
        <v>18</v>
      </c>
      <c r="GG27" s="14">
        <f t="shared" si="12"/>
        <v>0</v>
      </c>
      <c r="GH27" s="14">
        <f t="shared" si="13"/>
        <v>0</v>
      </c>
      <c r="GI27" s="4">
        <f t="shared" si="14"/>
        <v>0</v>
      </c>
      <c r="GJ27" s="3">
        <f t="shared" si="15"/>
        <v>0</v>
      </c>
      <c r="GK27" s="3">
        <f t="shared" si="16"/>
        <v>0</v>
      </c>
      <c r="GL27" s="17" t="e">
        <f t="shared" si="17"/>
        <v>#DIV/0!</v>
      </c>
      <c r="GM27" s="4" t="e">
        <f t="shared" si="18"/>
        <v>#DIV/0!</v>
      </c>
      <c r="GN27" s="3" t="e">
        <f t="shared" si="19"/>
        <v>#DIV/0!</v>
      </c>
      <c r="GO27" s="14">
        <f t="shared" si="20"/>
        <v>0</v>
      </c>
      <c r="GP27" s="3">
        <f t="shared" si="21"/>
        <v>0</v>
      </c>
      <c r="GQ27" s="35">
        <f t="shared" si="22"/>
        <v>0</v>
      </c>
      <c r="GR27" s="35">
        <f t="shared" si="23"/>
        <v>0</v>
      </c>
      <c r="GS27" s="35">
        <f t="shared" si="24"/>
        <v>0</v>
      </c>
    </row>
    <row r="28" spans="1:201" x14ac:dyDescent="0.35">
      <c r="A28" s="3" t="s">
        <v>47</v>
      </c>
      <c r="B28" s="3" t="s">
        <v>160</v>
      </c>
      <c r="C28" s="2" t="s">
        <v>142</v>
      </c>
      <c r="D28" s="2" t="s">
        <v>127</v>
      </c>
      <c r="E28" s="2" t="s">
        <v>107</v>
      </c>
      <c r="F28" s="3" t="s">
        <v>85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30">
        <v>13</v>
      </c>
      <c r="T28" s="30">
        <v>20</v>
      </c>
      <c r="U28" s="30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30">
        <v>19</v>
      </c>
      <c r="AI28" s="30">
        <v>29</v>
      </c>
      <c r="AJ28" s="30">
        <f t="shared" si="6"/>
        <v>48</v>
      </c>
      <c r="AL28" s="14">
        <v>12</v>
      </c>
      <c r="AM28" s="17">
        <v>10.1</v>
      </c>
      <c r="AN28" s="3">
        <v>-0.99186512955723183</v>
      </c>
      <c r="AO28" s="4">
        <f t="shared" si="7"/>
        <v>-9.8204468272993256E-2</v>
      </c>
      <c r="AP28" s="3">
        <v>84029.281284524477</v>
      </c>
      <c r="AQ28" s="17">
        <v>13.2</v>
      </c>
      <c r="AR28" s="17">
        <f t="shared" si="8"/>
        <v>24047.619047619046</v>
      </c>
      <c r="AS28" s="4">
        <f t="shared" si="9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10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 t="shared" si="11"/>
        <v>33</v>
      </c>
      <c r="GG28" s="14">
        <f t="shared" si="12"/>
        <v>33.69</v>
      </c>
      <c r="GH28" s="14">
        <f t="shared" si="13"/>
        <v>0.65623241537494592</v>
      </c>
      <c r="GI28" s="4">
        <f t="shared" si="14"/>
        <v>1.9478551955326388E-2</v>
      </c>
      <c r="GJ28" s="3">
        <f t="shared" si="15"/>
        <v>83132.310284964056</v>
      </c>
      <c r="GK28" s="3">
        <f t="shared" si="16"/>
        <v>13.299999999999999</v>
      </c>
      <c r="GL28" s="17">
        <f t="shared" si="17"/>
        <v>27390.243902439022</v>
      </c>
      <c r="GM28" s="4">
        <f t="shared" si="18"/>
        <v>0.46341463414634149</v>
      </c>
      <c r="GN28" s="3">
        <f t="shared" si="19"/>
        <v>1.426031294452347</v>
      </c>
      <c r="GO28" s="14">
        <f t="shared" si="20"/>
        <v>0</v>
      </c>
      <c r="GP28" s="3">
        <f t="shared" si="21"/>
        <v>0.88489898989898985</v>
      </c>
      <c r="GQ28" s="35">
        <f t="shared" si="22"/>
        <v>57</v>
      </c>
      <c r="GR28" s="35">
        <f t="shared" si="23"/>
        <v>66</v>
      </c>
      <c r="GS28" s="35">
        <f t="shared" si="24"/>
        <v>123</v>
      </c>
    </row>
    <row r="29" spans="1:201" x14ac:dyDescent="0.35">
      <c r="A29" s="3" t="s">
        <v>5</v>
      </c>
      <c r="B29" s="3" t="s">
        <v>160</v>
      </c>
      <c r="C29" s="2" t="s">
        <v>142</v>
      </c>
      <c r="D29" s="2" t="s">
        <v>83</v>
      </c>
      <c r="E29" s="2" t="s">
        <v>107</v>
      </c>
      <c r="F29" s="3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30">
        <v>8</v>
      </c>
      <c r="T29" s="30">
        <v>1</v>
      </c>
      <c r="U29" s="30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30">
        <v>8</v>
      </c>
      <c r="AI29" s="30">
        <v>0</v>
      </c>
      <c r="AJ29" s="30">
        <f t="shared" si="6"/>
        <v>8</v>
      </c>
      <c r="AL29" s="14">
        <v>4</v>
      </c>
      <c r="AM29" s="17">
        <v>26.676000000000002</v>
      </c>
      <c r="AN29" s="3">
        <v>19.777617612328392</v>
      </c>
      <c r="AO29" s="4">
        <f t="shared" si="7"/>
        <v>0.74140117005279615</v>
      </c>
      <c r="AP29" s="3">
        <v>97434.779486887113</v>
      </c>
      <c r="AQ29" s="17">
        <v>7.08</v>
      </c>
      <c r="AR29" s="17">
        <f t="shared" si="8"/>
        <v>148200.00000000003</v>
      </c>
      <c r="AS29" s="4">
        <f t="shared" si="9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10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 t="shared" si="11"/>
        <v>12</v>
      </c>
      <c r="GG29" s="14">
        <f t="shared" si="12"/>
        <v>38.650710000000004</v>
      </c>
      <c r="GH29" s="14">
        <f t="shared" si="13"/>
        <v>19.333050820256155</v>
      </c>
      <c r="GI29" s="4">
        <f t="shared" si="14"/>
        <v>0.50019911200224143</v>
      </c>
      <c r="GJ29" s="3">
        <f t="shared" si="15"/>
        <v>93302.981244060211</v>
      </c>
      <c r="GK29" s="3">
        <f t="shared" si="16"/>
        <v>7.0733333333333333</v>
      </c>
      <c r="GL29" s="17">
        <f t="shared" si="17"/>
        <v>110430.6</v>
      </c>
      <c r="GM29" s="4">
        <f t="shared" si="18"/>
        <v>0.88571428571428568</v>
      </c>
      <c r="GN29" s="3">
        <f t="shared" si="19"/>
        <v>1.3333333333333333</v>
      </c>
      <c r="GO29" s="14">
        <f t="shared" si="20"/>
        <v>6.48</v>
      </c>
      <c r="GP29" s="3">
        <f t="shared" si="21"/>
        <v>0.8467708863494503</v>
      </c>
      <c r="GQ29" s="35">
        <f t="shared" si="22"/>
        <v>31</v>
      </c>
      <c r="GR29" s="35">
        <f t="shared" si="23"/>
        <v>4</v>
      </c>
      <c r="GS29" s="35">
        <f t="shared" si="24"/>
        <v>35</v>
      </c>
    </row>
    <row r="30" spans="1:201" x14ac:dyDescent="0.35">
      <c r="A30" s="3" t="s">
        <v>21</v>
      </c>
      <c r="B30" s="3" t="s">
        <v>160</v>
      </c>
      <c r="C30" s="2" t="s">
        <v>142</v>
      </c>
      <c r="D30" s="2" t="s">
        <v>84</v>
      </c>
      <c r="E30" s="2" t="s">
        <v>107</v>
      </c>
      <c r="F30" s="3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30">
        <v>0</v>
      </c>
      <c r="T30" s="30">
        <v>0</v>
      </c>
      <c r="U30" s="30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123</v>
      </c>
      <c r="AF30" s="3"/>
      <c r="AG30" s="7">
        <v>0</v>
      </c>
      <c r="AH30" s="30">
        <v>0</v>
      </c>
      <c r="AI30" s="30">
        <v>0</v>
      </c>
      <c r="AJ30" s="30">
        <f t="shared" si="6"/>
        <v>0</v>
      </c>
      <c r="AL30" s="14">
        <v>3</v>
      </c>
      <c r="AM30" s="17">
        <v>1.8</v>
      </c>
      <c r="AN30" s="3">
        <v>1.8</v>
      </c>
      <c r="AO30" s="4">
        <f t="shared" si="7"/>
        <v>1</v>
      </c>
      <c r="AP30" s="3">
        <v>0</v>
      </c>
      <c r="AQ30" s="17">
        <v>0</v>
      </c>
      <c r="AR30" s="17">
        <f t="shared" si="8"/>
        <v>180000</v>
      </c>
      <c r="AS30" s="4">
        <f t="shared" si="9"/>
        <v>1</v>
      </c>
      <c r="AT30" s="3"/>
      <c r="AU30" s="3"/>
      <c r="AV30" s="7"/>
      <c r="AW30" s="8">
        <v>1</v>
      </c>
      <c r="AX30" s="8">
        <v>0</v>
      </c>
      <c r="AY30" s="8">
        <f t="shared" si="10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 t="shared" si="11"/>
        <v>3</v>
      </c>
      <c r="GG30" s="14">
        <f t="shared" si="12"/>
        <v>1.8</v>
      </c>
      <c r="GH30" s="14">
        <f t="shared" si="13"/>
        <v>1.8</v>
      </c>
      <c r="GI30" s="4">
        <f t="shared" si="14"/>
        <v>1</v>
      </c>
      <c r="GJ30" s="3">
        <f t="shared" si="15"/>
        <v>0</v>
      </c>
      <c r="GK30" s="3">
        <f t="shared" si="16"/>
        <v>0</v>
      </c>
      <c r="GL30" s="17">
        <f t="shared" si="17"/>
        <v>180000</v>
      </c>
      <c r="GM30" s="4">
        <f t="shared" si="18"/>
        <v>1</v>
      </c>
      <c r="GN30" s="3" t="e">
        <f t="shared" si="19"/>
        <v>#DIV/0!</v>
      </c>
      <c r="GO30" s="14">
        <f t="shared" si="20"/>
        <v>0</v>
      </c>
      <c r="GP30" s="3">
        <f t="shared" si="21"/>
        <v>0</v>
      </c>
      <c r="GQ30" s="35">
        <f t="shared" si="22"/>
        <v>1</v>
      </c>
      <c r="GR30" s="35">
        <f t="shared" si="23"/>
        <v>0</v>
      </c>
      <c r="GS30" s="35">
        <f t="shared" si="24"/>
        <v>1</v>
      </c>
    </row>
    <row r="31" spans="1:201" x14ac:dyDescent="0.35">
      <c r="A31" s="3" t="s">
        <v>48</v>
      </c>
      <c r="B31" s="3" t="s">
        <v>160</v>
      </c>
      <c r="C31" s="2" t="s">
        <v>142</v>
      </c>
      <c r="D31" s="2" t="s">
        <v>127</v>
      </c>
      <c r="E31" s="2" t="s">
        <v>107</v>
      </c>
      <c r="F31" s="3" t="s">
        <v>85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30">
        <v>53</v>
      </c>
      <c r="T31" s="30">
        <v>18</v>
      </c>
      <c r="U31" s="30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30">
        <v>81</v>
      </c>
      <c r="AI31" s="30">
        <v>0</v>
      </c>
      <c r="AJ31" s="30">
        <f t="shared" si="6"/>
        <v>81</v>
      </c>
      <c r="AL31" s="14">
        <v>30</v>
      </c>
      <c r="AM31" s="17">
        <v>34</v>
      </c>
      <c r="AN31" s="3">
        <v>9.3638481034639423</v>
      </c>
      <c r="AO31" s="4">
        <f t="shared" si="7"/>
        <v>0.27540729716070417</v>
      </c>
      <c r="AP31" s="3">
        <v>97184.031150043622</v>
      </c>
      <c r="AQ31" s="17">
        <v>25.349999999999998</v>
      </c>
      <c r="AR31" s="17">
        <f t="shared" si="8"/>
        <v>70833.333333333343</v>
      </c>
      <c r="AS31" s="4">
        <f t="shared" si="9"/>
        <v>0.8125</v>
      </c>
      <c r="AT31" s="3"/>
      <c r="AU31" s="3"/>
      <c r="AV31" s="7"/>
      <c r="AW31" s="8">
        <v>39</v>
      </c>
      <c r="AX31" s="8">
        <v>9</v>
      </c>
      <c r="AY31" s="8">
        <f t="shared" si="10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 t="shared" si="11"/>
        <v>100</v>
      </c>
      <c r="GG31" s="14">
        <f t="shared" si="12"/>
        <v>95.5</v>
      </c>
      <c r="GH31" s="14">
        <f t="shared" si="13"/>
        <v>17.985738039605756</v>
      </c>
      <c r="GI31" s="4">
        <f t="shared" si="14"/>
        <v>0.18833233549325398</v>
      </c>
      <c r="GJ31" s="3">
        <f t="shared" si="15"/>
        <v>96626.447403063139</v>
      </c>
      <c r="GK31" s="3">
        <f t="shared" si="16"/>
        <v>26.783333333333331</v>
      </c>
      <c r="GL31" s="17">
        <f t="shared" si="17"/>
        <v>47750</v>
      </c>
      <c r="GM31" s="4">
        <f t="shared" si="18"/>
        <v>0.86499999999999999</v>
      </c>
      <c r="GN31" s="3">
        <f t="shared" si="19"/>
        <v>2.8685483870967743</v>
      </c>
      <c r="GO31" s="14">
        <f t="shared" si="20"/>
        <v>0</v>
      </c>
      <c r="GP31" s="3">
        <f t="shared" si="21"/>
        <v>1.1372155755344238</v>
      </c>
      <c r="GQ31" s="35">
        <f t="shared" si="22"/>
        <v>173</v>
      </c>
      <c r="GR31" s="35">
        <f t="shared" si="23"/>
        <v>27</v>
      </c>
      <c r="GS31" s="35">
        <f t="shared" si="24"/>
        <v>200</v>
      </c>
    </row>
    <row r="32" spans="1:201" x14ac:dyDescent="0.35">
      <c r="A32" s="3" t="s">
        <v>14</v>
      </c>
      <c r="B32" s="3" t="s">
        <v>160</v>
      </c>
      <c r="C32" s="2" t="s">
        <v>142</v>
      </c>
      <c r="D32" s="2" t="s">
        <v>83</v>
      </c>
      <c r="E32" s="2" t="s">
        <v>107</v>
      </c>
      <c r="F32" s="3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30">
        <v>41</v>
      </c>
      <c r="T32" s="30">
        <v>59</v>
      </c>
      <c r="U32" s="30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30">
        <v>25</v>
      </c>
      <c r="AI32" s="30">
        <v>117</v>
      </c>
      <c r="AJ32" s="30">
        <f t="shared" si="6"/>
        <v>142</v>
      </c>
      <c r="AL32" s="14">
        <v>20.91</v>
      </c>
      <c r="AM32" s="17">
        <v>21.75</v>
      </c>
      <c r="AN32" s="3">
        <v>8.7637527467951628</v>
      </c>
      <c r="AO32" s="4">
        <f t="shared" si="7"/>
        <v>0.40293116077219138</v>
      </c>
      <c r="AP32" s="3">
        <v>91323.820346025561</v>
      </c>
      <c r="AQ32" s="17">
        <v>14.22</v>
      </c>
      <c r="AR32" s="17">
        <f t="shared" si="8"/>
        <v>24438.20224719101</v>
      </c>
      <c r="AS32" s="4">
        <f t="shared" si="9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10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 t="shared" si="11"/>
        <v>62.730000000000004</v>
      </c>
      <c r="GG32" s="14">
        <f t="shared" si="12"/>
        <v>81.44</v>
      </c>
      <c r="GH32" s="14">
        <f t="shared" si="13"/>
        <v>42.187513671087814</v>
      </c>
      <c r="GI32" s="4">
        <f t="shared" si="14"/>
        <v>0.51801956865284648</v>
      </c>
      <c r="GJ32" s="3">
        <f t="shared" si="15"/>
        <v>89820.511446913602</v>
      </c>
      <c r="GK32" s="3">
        <f t="shared" si="16"/>
        <v>14.566666666666668</v>
      </c>
      <c r="GL32" s="17">
        <f t="shared" si="17"/>
        <v>24604.229607250756</v>
      </c>
      <c r="GM32" s="4">
        <f t="shared" si="18"/>
        <v>0.29003021148036257</v>
      </c>
      <c r="GN32" s="3">
        <f t="shared" si="19"/>
        <v>2.4258241758241756</v>
      </c>
      <c r="GO32" s="14">
        <f t="shared" si="20"/>
        <v>25.14</v>
      </c>
      <c r="GP32" s="3">
        <f t="shared" si="21"/>
        <v>2.0249970967367323</v>
      </c>
      <c r="GQ32" s="35">
        <f t="shared" si="22"/>
        <v>96</v>
      </c>
      <c r="GR32" s="35">
        <f t="shared" si="23"/>
        <v>235</v>
      </c>
      <c r="GS32" s="35">
        <f t="shared" si="24"/>
        <v>331</v>
      </c>
    </row>
    <row r="33" spans="1:201" x14ac:dyDescent="0.35">
      <c r="A33" s="3" t="s">
        <v>15</v>
      </c>
      <c r="B33" s="3" t="s">
        <v>160</v>
      </c>
      <c r="C33" s="2" t="s">
        <v>142</v>
      </c>
      <c r="D33" s="2" t="s">
        <v>83</v>
      </c>
      <c r="E33" s="2" t="s">
        <v>107</v>
      </c>
      <c r="F33" s="3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30">
        <v>0</v>
      </c>
      <c r="T33" s="30">
        <v>0</v>
      </c>
      <c r="U33" s="30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30">
        <v>0</v>
      </c>
      <c r="AI33" s="30">
        <v>0</v>
      </c>
      <c r="AJ33" s="30">
        <f t="shared" si="6"/>
        <v>0</v>
      </c>
      <c r="AL33" s="14">
        <v>1</v>
      </c>
      <c r="AM33" s="17">
        <v>0</v>
      </c>
      <c r="AN33" s="3">
        <v>-1.1291079643603965</v>
      </c>
      <c r="AO33" s="4">
        <f t="shared" si="7"/>
        <v>0</v>
      </c>
      <c r="AP33" s="3">
        <v>112910.79643603964</v>
      </c>
      <c r="AQ33" s="17">
        <v>1</v>
      </c>
      <c r="AR33" s="17">
        <f t="shared" si="8"/>
        <v>0</v>
      </c>
      <c r="AS33" s="4">
        <f t="shared" si="9"/>
        <v>0</v>
      </c>
      <c r="AT33" s="3"/>
      <c r="AU33" s="3"/>
      <c r="AV33" s="7"/>
      <c r="AW33" s="8">
        <v>0</v>
      </c>
      <c r="AX33" s="8">
        <v>0</v>
      </c>
      <c r="AY33" s="8">
        <f t="shared" si="10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 t="shared" si="11"/>
        <v>3.5</v>
      </c>
      <c r="GG33" s="14">
        <f t="shared" si="12"/>
        <v>0</v>
      </c>
      <c r="GH33" s="14">
        <f t="shared" si="13"/>
        <v>-3.3046792569579795</v>
      </c>
      <c r="GI33" s="4">
        <f t="shared" si="14"/>
        <v>0</v>
      </c>
      <c r="GJ33" s="3">
        <f t="shared" si="15"/>
        <v>110540.78952177665</v>
      </c>
      <c r="GK33" s="3">
        <f t="shared" si="16"/>
        <v>1</v>
      </c>
      <c r="GL33" s="17" t="e">
        <f t="shared" si="17"/>
        <v>#DIV/0!</v>
      </c>
      <c r="GM33" s="4" t="e">
        <f t="shared" si="18"/>
        <v>#DIV/0!</v>
      </c>
      <c r="GN33" s="3">
        <f t="shared" si="19"/>
        <v>0</v>
      </c>
      <c r="GO33" s="14">
        <f t="shared" si="20"/>
        <v>0</v>
      </c>
      <c r="GP33" s="3">
        <f t="shared" si="21"/>
        <v>0</v>
      </c>
      <c r="GQ33" s="35">
        <f t="shared" si="22"/>
        <v>0</v>
      </c>
      <c r="GR33" s="35">
        <f t="shared" si="23"/>
        <v>0</v>
      </c>
      <c r="GS33" s="35">
        <f t="shared" si="24"/>
        <v>0</v>
      </c>
    </row>
    <row r="34" spans="1:201" x14ac:dyDescent="0.35">
      <c r="A34" s="3" t="s">
        <v>16</v>
      </c>
      <c r="B34" s="3" t="s">
        <v>160</v>
      </c>
      <c r="C34" s="2" t="s">
        <v>142</v>
      </c>
      <c r="D34" s="2" t="s">
        <v>83</v>
      </c>
      <c r="E34" s="2" t="s">
        <v>107</v>
      </c>
      <c r="F34" s="3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30">
        <v>0</v>
      </c>
      <c r="T34" s="30">
        <v>0</v>
      </c>
      <c r="U34" s="30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123</v>
      </c>
      <c r="AF34" s="3"/>
      <c r="AG34" s="7">
        <v>0</v>
      </c>
      <c r="AH34" s="30">
        <v>0</v>
      </c>
      <c r="AI34" s="30">
        <v>0</v>
      </c>
      <c r="AJ34" s="30">
        <f t="shared" si="6"/>
        <v>0</v>
      </c>
      <c r="AL34" s="14">
        <v>0</v>
      </c>
      <c r="AM34" s="17">
        <v>0</v>
      </c>
      <c r="AN34" s="3">
        <v>0</v>
      </c>
      <c r="AO34" s="4">
        <f t="shared" si="7"/>
        <v>0</v>
      </c>
      <c r="AP34" s="3">
        <v>0</v>
      </c>
      <c r="AQ34" s="17">
        <v>0</v>
      </c>
      <c r="AR34" s="17">
        <f t="shared" si="8"/>
        <v>0</v>
      </c>
      <c r="AS34" s="4">
        <f t="shared" si="9"/>
        <v>0</v>
      </c>
      <c r="AT34" s="3"/>
      <c r="AU34" s="3"/>
      <c r="AV34" s="7"/>
      <c r="AW34" s="8">
        <v>0</v>
      </c>
      <c r="AX34" s="8">
        <v>0</v>
      </c>
      <c r="AY34" s="8">
        <f t="shared" si="10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 t="shared" si="11"/>
        <v>0</v>
      </c>
      <c r="GG34" s="14">
        <f t="shared" si="12"/>
        <v>3.2240000000000002</v>
      </c>
      <c r="GH34" s="14">
        <f t="shared" si="13"/>
        <v>3.2240000000000002</v>
      </c>
      <c r="GI34" s="4">
        <f t="shared" si="14"/>
        <v>1</v>
      </c>
      <c r="GJ34" s="3">
        <f t="shared" si="15"/>
        <v>0</v>
      </c>
      <c r="GK34" s="3">
        <f t="shared" si="16"/>
        <v>0</v>
      </c>
      <c r="GL34" s="17" t="e">
        <f t="shared" si="17"/>
        <v>#DIV/0!</v>
      </c>
      <c r="GM34" s="4" t="e">
        <f t="shared" si="18"/>
        <v>#DIV/0!</v>
      </c>
      <c r="GN34" s="3" t="e">
        <f t="shared" si="19"/>
        <v>#DIV/0!</v>
      </c>
      <c r="GO34" s="14">
        <f t="shared" si="20"/>
        <v>0</v>
      </c>
      <c r="GP34" s="3">
        <f t="shared" si="21"/>
        <v>0</v>
      </c>
      <c r="GQ34" s="35">
        <f t="shared" si="22"/>
        <v>0</v>
      </c>
      <c r="GR34" s="35">
        <f t="shared" si="23"/>
        <v>0</v>
      </c>
      <c r="GS34" s="35">
        <f t="shared" si="24"/>
        <v>0</v>
      </c>
    </row>
    <row r="35" spans="1:201" x14ac:dyDescent="0.35">
      <c r="A35" s="3" t="s">
        <v>49</v>
      </c>
      <c r="B35" s="3" t="s">
        <v>160</v>
      </c>
      <c r="C35" s="2" t="s">
        <v>142</v>
      </c>
      <c r="D35" s="2" t="s">
        <v>83</v>
      </c>
      <c r="E35" s="2" t="s">
        <v>107</v>
      </c>
      <c r="F35" s="3" t="s">
        <v>2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30">
        <v>5</v>
      </c>
      <c r="T35" s="30">
        <v>0</v>
      </c>
      <c r="U35" s="30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30">
        <v>0</v>
      </c>
      <c r="AI35" s="30">
        <v>5</v>
      </c>
      <c r="AJ35" s="30">
        <f t="shared" si="6"/>
        <v>5</v>
      </c>
      <c r="AL35" s="14">
        <v>3</v>
      </c>
      <c r="AM35" s="17">
        <v>1.92</v>
      </c>
      <c r="AN35" s="3">
        <v>-5.8017919810891765E-2</v>
      </c>
      <c r="AO35" s="4">
        <f t="shared" si="7"/>
        <v>-3.0217666568172794E-2</v>
      </c>
      <c r="AP35" s="3">
        <v>87911.907547150739</v>
      </c>
      <c r="AQ35" s="17">
        <v>2.25</v>
      </c>
      <c r="AR35" s="17">
        <f t="shared" si="8"/>
        <v>192000</v>
      </c>
      <c r="AS35" s="4">
        <f t="shared" si="9"/>
        <v>1</v>
      </c>
      <c r="AT35" s="3"/>
      <c r="AU35" s="3"/>
      <c r="AV35" s="7"/>
      <c r="AW35" s="8">
        <v>1</v>
      </c>
      <c r="AX35" s="8">
        <v>0</v>
      </c>
      <c r="AY35" s="8">
        <f t="shared" si="10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 t="shared" si="11"/>
        <v>8.6</v>
      </c>
      <c r="GG35" s="14">
        <f t="shared" si="12"/>
        <v>8.51</v>
      </c>
      <c r="GH35" s="14">
        <f t="shared" si="13"/>
        <v>2.579417374251304</v>
      </c>
      <c r="GI35" s="4">
        <f t="shared" si="14"/>
        <v>0.30310427429510034</v>
      </c>
      <c r="GJ35" s="3">
        <f t="shared" si="15"/>
        <v>86866.998347623739</v>
      </c>
      <c r="GK35" s="3">
        <f t="shared" si="16"/>
        <v>2.2833333333333332</v>
      </c>
      <c r="GL35" s="17">
        <f t="shared" si="17"/>
        <v>77363.636363636353</v>
      </c>
      <c r="GM35" s="4">
        <f t="shared" si="18"/>
        <v>0.54545454545454541</v>
      </c>
      <c r="GN35" s="3">
        <f t="shared" si="19"/>
        <v>1.1904761904761905</v>
      </c>
      <c r="GO35" s="14">
        <f t="shared" si="20"/>
        <v>0</v>
      </c>
      <c r="GP35" s="3">
        <f t="shared" si="21"/>
        <v>1.4284160756501181</v>
      </c>
      <c r="GQ35" s="35">
        <f t="shared" si="22"/>
        <v>6</v>
      </c>
      <c r="GR35" s="35">
        <f t="shared" si="23"/>
        <v>5</v>
      </c>
      <c r="GS35" s="35">
        <f t="shared" si="24"/>
        <v>11</v>
      </c>
    </row>
    <row r="36" spans="1:201" x14ac:dyDescent="0.35">
      <c r="A36" s="3" t="s">
        <v>17</v>
      </c>
      <c r="B36" s="3" t="s">
        <v>160</v>
      </c>
      <c r="C36" s="2" t="s">
        <v>142</v>
      </c>
      <c r="D36" s="2" t="s">
        <v>83</v>
      </c>
      <c r="E36" s="2" t="s">
        <v>107</v>
      </c>
      <c r="F36" s="3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30">
        <v>7</v>
      </c>
      <c r="T36" s="30">
        <v>2</v>
      </c>
      <c r="U36" s="30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30">
        <v>10</v>
      </c>
      <c r="AI36" s="30">
        <v>2</v>
      </c>
      <c r="AJ36" s="30">
        <f t="shared" si="6"/>
        <v>12</v>
      </c>
      <c r="AL36" s="14">
        <v>7.87</v>
      </c>
      <c r="AM36" s="17">
        <v>3.1223299999999998</v>
      </c>
      <c r="AN36" s="3">
        <v>-1.3670856625147738</v>
      </c>
      <c r="AO36" s="4">
        <f t="shared" si="7"/>
        <v>-0.43784150378556203</v>
      </c>
      <c r="AP36" s="3">
        <v>90148.908885838813</v>
      </c>
      <c r="AQ36" s="17">
        <v>4.9800000000000004</v>
      </c>
      <c r="AR36" s="17">
        <f t="shared" si="8"/>
        <v>31223.3</v>
      </c>
      <c r="AS36" s="4">
        <f t="shared" si="9"/>
        <v>0.9</v>
      </c>
      <c r="AT36" s="3"/>
      <c r="AU36" s="3"/>
      <c r="AV36" s="7"/>
      <c r="AW36" s="8">
        <v>9</v>
      </c>
      <c r="AX36" s="8">
        <v>1</v>
      </c>
      <c r="AY36" s="8">
        <f t="shared" si="10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 t="shared" si="11"/>
        <v>23.61</v>
      </c>
      <c r="GG36" s="14">
        <f t="shared" si="12"/>
        <v>13.159104999999998</v>
      </c>
      <c r="GH36" s="14">
        <f t="shared" si="13"/>
        <v>-0.40969923411519482</v>
      </c>
      <c r="GI36" s="4">
        <f t="shared" si="14"/>
        <v>-3.1134278061858679E-2</v>
      </c>
      <c r="GJ36" s="3">
        <f t="shared" si="15"/>
        <v>89782.418551009338</v>
      </c>
      <c r="GK36" s="3">
        <f t="shared" si="16"/>
        <v>5.0566666666666675</v>
      </c>
      <c r="GL36" s="17">
        <f t="shared" si="17"/>
        <v>42448.725806451606</v>
      </c>
      <c r="GM36" s="4">
        <f t="shared" si="18"/>
        <v>0.83870967741935487</v>
      </c>
      <c r="GN36" s="3">
        <f t="shared" si="19"/>
        <v>2.1804830287206265</v>
      </c>
      <c r="GO36" s="14">
        <f t="shared" si="20"/>
        <v>0</v>
      </c>
      <c r="GP36" s="3">
        <f t="shared" si="21"/>
        <v>0.9917224444804168</v>
      </c>
      <c r="GQ36" s="35">
        <f t="shared" si="22"/>
        <v>26</v>
      </c>
      <c r="GR36" s="35">
        <f t="shared" si="23"/>
        <v>5</v>
      </c>
      <c r="GS36" s="35">
        <f t="shared" si="24"/>
        <v>31</v>
      </c>
    </row>
    <row r="37" spans="1:201" x14ac:dyDescent="0.35">
      <c r="A37" s="3" t="s">
        <v>18</v>
      </c>
      <c r="B37" s="3" t="s">
        <v>160</v>
      </c>
      <c r="C37" s="2" t="s">
        <v>142</v>
      </c>
      <c r="D37" s="2" t="s">
        <v>83</v>
      </c>
      <c r="E37" s="2" t="s">
        <v>107</v>
      </c>
      <c r="F37" s="3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30">
        <v>134</v>
      </c>
      <c r="T37" s="30">
        <v>0</v>
      </c>
      <c r="U37" s="30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30">
        <v>92</v>
      </c>
      <c r="AI37" s="30">
        <v>0</v>
      </c>
      <c r="AJ37" s="30">
        <f t="shared" si="6"/>
        <v>92</v>
      </c>
      <c r="AL37" s="14">
        <v>36</v>
      </c>
      <c r="AM37" s="17">
        <v>30.795909950000002</v>
      </c>
      <c r="AN37" s="3">
        <v>15.753674777529778</v>
      </c>
      <c r="AO37" s="4">
        <f t="shared" si="7"/>
        <v>0.5115508781233391</v>
      </c>
      <c r="AP37" s="3">
        <v>80310.919233690467</v>
      </c>
      <c r="AQ37" s="17">
        <v>18.73</v>
      </c>
      <c r="AR37" s="17">
        <f t="shared" si="8"/>
        <v>24059.304648437501</v>
      </c>
      <c r="AS37" s="4">
        <f t="shared" si="9"/>
        <v>0.3984375</v>
      </c>
      <c r="AT37" s="3"/>
      <c r="AU37" s="3"/>
      <c r="AV37" s="7"/>
      <c r="AW37" s="8">
        <v>51</v>
      </c>
      <c r="AX37" s="8">
        <v>77</v>
      </c>
      <c r="AY37" s="8">
        <f t="shared" si="10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 t="shared" si="11"/>
        <v>112</v>
      </c>
      <c r="GG37" s="14">
        <f t="shared" si="12"/>
        <v>97.615909950000002</v>
      </c>
      <c r="GH37" s="14">
        <f t="shared" si="13"/>
        <v>54.433929611051781</v>
      </c>
      <c r="GI37" s="4">
        <f t="shared" si="14"/>
        <v>0.55763378775994066</v>
      </c>
      <c r="GJ37" s="3">
        <f t="shared" si="15"/>
        <v>78008.213210428308</v>
      </c>
      <c r="GK37" s="3">
        <f t="shared" si="16"/>
        <v>18.506666666666664</v>
      </c>
      <c r="GL37" s="17">
        <f t="shared" si="17"/>
        <v>27575.115805084748</v>
      </c>
      <c r="GM37" s="4">
        <f t="shared" si="18"/>
        <v>0.78248587570621464</v>
      </c>
      <c r="GN37" s="3">
        <f t="shared" si="19"/>
        <v>6.5356491158223022</v>
      </c>
      <c r="GO37" s="14">
        <f t="shared" si="20"/>
        <v>0</v>
      </c>
      <c r="GP37" s="3">
        <f t="shared" si="21"/>
        <v>1.8206005194762196</v>
      </c>
      <c r="GQ37" s="35">
        <f t="shared" si="22"/>
        <v>277</v>
      </c>
      <c r="GR37" s="35">
        <f t="shared" si="23"/>
        <v>77</v>
      </c>
      <c r="GS37" s="35">
        <f t="shared" si="24"/>
        <v>354</v>
      </c>
    </row>
    <row r="38" spans="1:201" x14ac:dyDescent="0.35">
      <c r="A38" s="3" t="s">
        <v>50</v>
      </c>
      <c r="B38" s="3" t="s">
        <v>161</v>
      </c>
      <c r="C38" s="2" t="s">
        <v>146</v>
      </c>
      <c r="D38" s="2" t="s">
        <v>150</v>
      </c>
      <c r="E38" s="2" t="s">
        <v>107</v>
      </c>
      <c r="F38" s="3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30">
        <v>12</v>
      </c>
      <c r="T38" s="30">
        <v>22</v>
      </c>
      <c r="U38" s="30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30">
        <v>12</v>
      </c>
      <c r="AI38" s="30">
        <v>22</v>
      </c>
      <c r="AJ38" s="30">
        <f t="shared" si="6"/>
        <v>34</v>
      </c>
      <c r="AL38" s="14">
        <v>17</v>
      </c>
      <c r="AM38" s="17">
        <v>14.14546</v>
      </c>
      <c r="AN38" s="3">
        <v>-1.1911424727272719</v>
      </c>
      <c r="AO38" s="4">
        <f t="shared" si="7"/>
        <v>-8.4206697606671821E-2</v>
      </c>
      <c r="AP38" s="3">
        <v>133361.76063241105</v>
      </c>
      <c r="AQ38" s="17">
        <v>11.5</v>
      </c>
      <c r="AR38" s="17">
        <f t="shared" si="8"/>
        <v>58939.416666666664</v>
      </c>
      <c r="AS38" s="4">
        <f t="shared" si="9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10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 t="shared" si="11"/>
        <v>46</v>
      </c>
      <c r="GG38" s="14">
        <f t="shared" si="12"/>
        <v>38.404499999999999</v>
      </c>
      <c r="GH38" s="14">
        <f t="shared" si="13"/>
        <v>-8.7613144710794106</v>
      </c>
      <c r="GI38" s="4">
        <f t="shared" si="14"/>
        <v>-0.22813249674073119</v>
      </c>
      <c r="GJ38" s="3">
        <f t="shared" si="15"/>
        <v>135843.30120491204</v>
      </c>
      <c r="GK38" s="3">
        <f t="shared" si="16"/>
        <v>11.5</v>
      </c>
      <c r="GL38" s="17">
        <f t="shared" si="17"/>
        <v>41744.021739130432</v>
      </c>
      <c r="GM38" s="4">
        <f t="shared" si="18"/>
        <v>0.43478260869565216</v>
      </c>
      <c r="GN38" s="3">
        <f t="shared" si="19"/>
        <v>1.7142857142857142</v>
      </c>
      <c r="GO38" s="14">
        <f t="shared" si="20"/>
        <v>12.259040000000001</v>
      </c>
      <c r="GP38" s="3">
        <f t="shared" si="21"/>
        <v>1.0547408695652174</v>
      </c>
      <c r="GQ38" s="35">
        <f t="shared" si="22"/>
        <v>40</v>
      </c>
      <c r="GR38" s="35">
        <f t="shared" si="23"/>
        <v>52</v>
      </c>
      <c r="GS38" s="35">
        <f t="shared" si="24"/>
        <v>92</v>
      </c>
    </row>
    <row r="39" spans="1:201" x14ac:dyDescent="0.35">
      <c r="A39" s="3" t="s">
        <v>6</v>
      </c>
      <c r="B39" s="3" t="s">
        <v>160</v>
      </c>
      <c r="C39" s="2" t="s">
        <v>142</v>
      </c>
      <c r="D39" s="2" t="s">
        <v>83</v>
      </c>
      <c r="E39" s="2" t="s">
        <v>107</v>
      </c>
      <c r="F39" s="3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30">
        <v>8</v>
      </c>
      <c r="T39" s="30">
        <v>4</v>
      </c>
      <c r="U39" s="30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30">
        <v>5</v>
      </c>
      <c r="AI39" s="30">
        <v>1</v>
      </c>
      <c r="AJ39" s="30">
        <f t="shared" si="6"/>
        <v>6</v>
      </c>
      <c r="AL39" s="14">
        <v>5.5</v>
      </c>
      <c r="AM39" s="17">
        <v>5.5390100000000002</v>
      </c>
      <c r="AN39" s="3">
        <v>1.8499015054095826</v>
      </c>
      <c r="AO39" s="4">
        <f t="shared" si="7"/>
        <v>0.33397692103996607</v>
      </c>
      <c r="AP39" s="3">
        <v>90419.325847804343</v>
      </c>
      <c r="AQ39" s="17">
        <v>4.08</v>
      </c>
      <c r="AR39" s="17">
        <f t="shared" si="8"/>
        <v>61544.555555555555</v>
      </c>
      <c r="AS39" s="4">
        <f t="shared" si="9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10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 t="shared" si="11"/>
        <v>15.5</v>
      </c>
      <c r="GG39" s="14">
        <f t="shared" si="12"/>
        <v>17.57403</v>
      </c>
      <c r="GH39" s="14">
        <f t="shared" si="13"/>
        <v>7.8258465670625244</v>
      </c>
      <c r="GI39" s="4">
        <f t="shared" si="14"/>
        <v>0.44530745463974536</v>
      </c>
      <c r="GJ39" s="3">
        <f t="shared" si="15"/>
        <v>88981.288432452013</v>
      </c>
      <c r="GK39" s="3">
        <f t="shared" si="16"/>
        <v>3.74</v>
      </c>
      <c r="GL39" s="17">
        <f t="shared" si="17"/>
        <v>65089</v>
      </c>
      <c r="GM39" s="4">
        <f t="shared" si="18"/>
        <v>0.77777777777777779</v>
      </c>
      <c r="GN39" s="3">
        <f t="shared" si="19"/>
        <v>3.25</v>
      </c>
      <c r="GO39" s="14">
        <f t="shared" si="20"/>
        <v>0</v>
      </c>
      <c r="GP39" s="3">
        <f t="shared" si="21"/>
        <v>1.6721838235294118</v>
      </c>
      <c r="GQ39" s="35">
        <f t="shared" si="22"/>
        <v>21</v>
      </c>
      <c r="GR39" s="35">
        <f t="shared" si="23"/>
        <v>6</v>
      </c>
      <c r="GS39" s="35">
        <f t="shared" si="24"/>
        <v>27</v>
      </c>
    </row>
    <row r="40" spans="1:201" x14ac:dyDescent="0.35">
      <c r="A40" s="3" t="s">
        <v>51</v>
      </c>
      <c r="B40" s="3" t="s">
        <v>160</v>
      </c>
      <c r="C40" s="2" t="s">
        <v>142</v>
      </c>
      <c r="D40" s="2" t="s">
        <v>127</v>
      </c>
      <c r="E40" s="2" t="s">
        <v>107</v>
      </c>
      <c r="F40" s="3" t="s">
        <v>85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30">
        <v>3</v>
      </c>
      <c r="T40" s="30">
        <v>0</v>
      </c>
      <c r="U40" s="30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30">
        <v>11</v>
      </c>
      <c r="AI40" s="30">
        <v>0</v>
      </c>
      <c r="AJ40" s="30">
        <f t="shared" si="6"/>
        <v>11</v>
      </c>
      <c r="AL40" s="14">
        <v>5</v>
      </c>
      <c r="AM40" s="17">
        <v>6.5851499999999996</v>
      </c>
      <c r="AN40" s="3">
        <v>2.6868693372124741</v>
      </c>
      <c r="AO40" s="4">
        <f t="shared" si="7"/>
        <v>0.40801945851081212</v>
      </c>
      <c r="AP40" s="3">
        <v>101254.0431892864</v>
      </c>
      <c r="AQ40" s="17">
        <v>3.8499999999999996</v>
      </c>
      <c r="AR40" s="17">
        <f t="shared" si="8"/>
        <v>94073.57142857142</v>
      </c>
      <c r="AS40" s="4">
        <f t="shared" si="9"/>
        <v>1</v>
      </c>
      <c r="AT40" s="3"/>
      <c r="AU40" s="3"/>
      <c r="AV40" s="7"/>
      <c r="AW40" s="8">
        <v>7</v>
      </c>
      <c r="AX40" s="8">
        <v>0</v>
      </c>
      <c r="AY40" s="8">
        <f t="shared" si="10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 t="shared" si="11"/>
        <v>12</v>
      </c>
      <c r="GG40" s="14">
        <f t="shared" si="12"/>
        <v>16.8667604</v>
      </c>
      <c r="GH40" s="14">
        <f t="shared" si="13"/>
        <v>4.6912389679320512</v>
      </c>
      <c r="GI40" s="4">
        <f t="shared" si="14"/>
        <v>0.27813515201959299</v>
      </c>
      <c r="GJ40" s="3">
        <f t="shared" si="15"/>
        <v>101053.71306008573</v>
      </c>
      <c r="GK40" s="3">
        <f t="shared" si="16"/>
        <v>3.9499999999999993</v>
      </c>
      <c r="GL40" s="17">
        <f t="shared" si="17"/>
        <v>80317.906666666677</v>
      </c>
      <c r="GM40" s="4">
        <f t="shared" si="18"/>
        <v>1</v>
      </c>
      <c r="GN40" s="3">
        <f t="shared" si="19"/>
        <v>2.258064516129032</v>
      </c>
      <c r="GO40" s="14">
        <f t="shared" si="20"/>
        <v>0</v>
      </c>
      <c r="GP40" s="3">
        <f t="shared" si="21"/>
        <v>1.3018369112814898</v>
      </c>
      <c r="GQ40" s="35">
        <f t="shared" si="22"/>
        <v>21</v>
      </c>
      <c r="GR40" s="35">
        <f t="shared" si="23"/>
        <v>0</v>
      </c>
      <c r="GS40" s="35">
        <f t="shared" si="24"/>
        <v>21</v>
      </c>
    </row>
    <row r="41" spans="1:201" x14ac:dyDescent="0.35">
      <c r="A41" s="3" t="s">
        <v>64</v>
      </c>
      <c r="B41" s="3" t="s">
        <v>160</v>
      </c>
      <c r="C41" s="2" t="s">
        <v>142</v>
      </c>
      <c r="D41" s="2" t="s">
        <v>84</v>
      </c>
      <c r="E41" s="2" t="s">
        <v>107</v>
      </c>
      <c r="F41" s="3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30">
        <v>0</v>
      </c>
      <c r="T41" s="30">
        <v>0</v>
      </c>
      <c r="U41" s="30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30"/>
      <c r="AI41" s="30">
        <v>0</v>
      </c>
      <c r="AJ41" s="30">
        <f t="shared" si="6"/>
        <v>0</v>
      </c>
      <c r="AL41" s="14">
        <v>0</v>
      </c>
      <c r="AM41" s="17">
        <v>0</v>
      </c>
      <c r="AN41" s="3">
        <v>0</v>
      </c>
      <c r="AO41" s="4">
        <f t="shared" si="7"/>
        <v>0</v>
      </c>
      <c r="AP41" s="3">
        <v>0</v>
      </c>
      <c r="AQ41" s="17">
        <v>0</v>
      </c>
      <c r="AR41" s="17">
        <f t="shared" si="8"/>
        <v>0</v>
      </c>
      <c r="AS41" s="4">
        <f t="shared" si="9"/>
        <v>0</v>
      </c>
      <c r="AT41" s="3"/>
      <c r="AU41" s="3"/>
      <c r="AV41" s="7"/>
      <c r="AW41" s="8">
        <v>0</v>
      </c>
      <c r="AX41" s="8">
        <v>0</v>
      </c>
      <c r="AY41" s="8">
        <f t="shared" si="10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 t="shared" si="11"/>
        <v>0</v>
      </c>
      <c r="GG41" s="14">
        <f t="shared" si="12"/>
        <v>0</v>
      </c>
      <c r="GH41" s="14">
        <f t="shared" si="13"/>
        <v>0</v>
      </c>
      <c r="GI41" s="4">
        <f t="shared" si="14"/>
        <v>0</v>
      </c>
      <c r="GJ41" s="3">
        <f t="shared" si="15"/>
        <v>0</v>
      </c>
      <c r="GK41" s="3">
        <f t="shared" si="16"/>
        <v>0</v>
      </c>
      <c r="GL41" s="17" t="e">
        <f t="shared" si="17"/>
        <v>#DIV/0!</v>
      </c>
      <c r="GM41" s="4" t="e">
        <f t="shared" si="18"/>
        <v>#DIV/0!</v>
      </c>
      <c r="GN41" s="3" t="e">
        <f t="shared" si="19"/>
        <v>#DIV/0!</v>
      </c>
      <c r="GO41" s="14">
        <f t="shared" si="20"/>
        <v>0</v>
      </c>
      <c r="GP41" s="3">
        <f t="shared" si="21"/>
        <v>0</v>
      </c>
      <c r="GQ41" s="35">
        <f t="shared" si="22"/>
        <v>0</v>
      </c>
      <c r="GR41" s="35">
        <f t="shared" si="23"/>
        <v>0</v>
      </c>
      <c r="GS41" s="35">
        <f t="shared" si="24"/>
        <v>0</v>
      </c>
    </row>
    <row r="42" spans="1:201" x14ac:dyDescent="0.35">
      <c r="A42" s="3" t="s">
        <v>52</v>
      </c>
      <c r="B42" s="3" t="s">
        <v>160</v>
      </c>
      <c r="C42" s="2" t="s">
        <v>142</v>
      </c>
      <c r="D42" s="2" t="s">
        <v>127</v>
      </c>
      <c r="E42" s="2" t="s">
        <v>107</v>
      </c>
      <c r="F42" s="3" t="s">
        <v>85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30">
        <v>7</v>
      </c>
      <c r="T42" s="30">
        <v>13</v>
      </c>
      <c r="U42" s="30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30">
        <v>8</v>
      </c>
      <c r="AI42" s="30">
        <v>1</v>
      </c>
      <c r="AJ42" s="30">
        <f t="shared" si="6"/>
        <v>9</v>
      </c>
      <c r="AL42" s="14">
        <v>9.5</v>
      </c>
      <c r="AM42" s="17">
        <v>9.75</v>
      </c>
      <c r="AN42" s="3">
        <v>4.6759525675061369</v>
      </c>
      <c r="AO42" s="4">
        <f t="shared" si="7"/>
        <v>0.47958487871857813</v>
      </c>
      <c r="AP42" s="3">
        <v>107958.45601050773</v>
      </c>
      <c r="AQ42" s="17">
        <v>4.7</v>
      </c>
      <c r="AR42" s="17">
        <f t="shared" si="8"/>
        <v>51315.789473684214</v>
      </c>
      <c r="AS42" s="4">
        <f t="shared" si="9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10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 t="shared" si="11"/>
        <v>28.5</v>
      </c>
      <c r="GG42" s="14">
        <f t="shared" si="12"/>
        <v>30.11</v>
      </c>
      <c r="GH42" s="14">
        <f t="shared" si="13"/>
        <v>14.525122897111011</v>
      </c>
      <c r="GI42" s="4">
        <f t="shared" si="14"/>
        <v>0.48240195606479613</v>
      </c>
      <c r="GJ42" s="3">
        <f t="shared" si="15"/>
        <v>109453.42651700025</v>
      </c>
      <c r="GK42" s="3">
        <f t="shared" si="16"/>
        <v>4.7666666666666666</v>
      </c>
      <c r="GL42" s="17">
        <f t="shared" si="17"/>
        <v>62729.166666666672</v>
      </c>
      <c r="GM42" s="4">
        <f t="shared" si="18"/>
        <v>0.4375</v>
      </c>
      <c r="GN42" s="3">
        <f t="shared" si="19"/>
        <v>2.3269230769230766</v>
      </c>
      <c r="GO42" s="14">
        <f t="shared" si="20"/>
        <v>0</v>
      </c>
      <c r="GP42" s="3">
        <f t="shared" si="21"/>
        <v>2.1217976552323057</v>
      </c>
      <c r="GQ42" s="35">
        <f t="shared" si="22"/>
        <v>21</v>
      </c>
      <c r="GR42" s="35">
        <f t="shared" si="23"/>
        <v>27</v>
      </c>
      <c r="GS42" s="35">
        <f t="shared" si="24"/>
        <v>48</v>
      </c>
    </row>
    <row r="43" spans="1:201" x14ac:dyDescent="0.35">
      <c r="A43" s="3" t="s">
        <v>53</v>
      </c>
      <c r="B43" s="3" t="s">
        <v>160</v>
      </c>
      <c r="C43" s="2" t="s">
        <v>146</v>
      </c>
      <c r="D43" s="2" t="s">
        <v>84</v>
      </c>
      <c r="E43" s="2" t="s">
        <v>107</v>
      </c>
      <c r="F43" s="3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30">
        <v>0</v>
      </c>
      <c r="T43" s="30">
        <v>0</v>
      </c>
      <c r="U43" s="30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30">
        <v>0</v>
      </c>
      <c r="AI43" s="30">
        <v>0</v>
      </c>
      <c r="AJ43" s="30">
        <f t="shared" si="6"/>
        <v>0</v>
      </c>
      <c r="AL43" s="14">
        <v>0</v>
      </c>
      <c r="AM43" s="17">
        <v>2.4180000000000001</v>
      </c>
      <c r="AN43" s="3">
        <v>1.1714004427675246</v>
      </c>
      <c r="AO43" s="4">
        <f t="shared" si="7"/>
        <v>0.48445014175662721</v>
      </c>
      <c r="AP43" s="3">
        <v>103883.29643603964</v>
      </c>
      <c r="AQ43" s="17">
        <v>1.2</v>
      </c>
      <c r="AR43" s="17">
        <f t="shared" si="8"/>
        <v>241800.00000000003</v>
      </c>
      <c r="AS43" s="4">
        <f t="shared" si="9"/>
        <v>1</v>
      </c>
      <c r="AT43" s="3"/>
      <c r="AU43" s="3"/>
      <c r="AV43" s="7"/>
      <c r="AW43" s="8">
        <v>1</v>
      </c>
      <c r="AX43" s="8">
        <v>0</v>
      </c>
      <c r="AY43" s="8">
        <f t="shared" si="10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 t="shared" si="11"/>
        <v>0</v>
      </c>
      <c r="GG43" s="14">
        <f t="shared" si="12"/>
        <v>2.4180000000000001</v>
      </c>
      <c r="GH43" s="14">
        <f t="shared" si="13"/>
        <v>-0.75762751316308852</v>
      </c>
      <c r="GI43" s="4">
        <f t="shared" si="14"/>
        <v>-0.31332816921550394</v>
      </c>
      <c r="GJ43" s="3">
        <f t="shared" si="15"/>
        <v>93015.456188443306</v>
      </c>
      <c r="GK43" s="3">
        <f t="shared" si="16"/>
        <v>1.1333333333333335</v>
      </c>
      <c r="GL43" s="17">
        <f t="shared" si="17"/>
        <v>241800.00000000003</v>
      </c>
      <c r="GM43" s="4">
        <f t="shared" si="18"/>
        <v>1</v>
      </c>
      <c r="GN43" s="3">
        <f t="shared" si="19"/>
        <v>0</v>
      </c>
      <c r="GO43" s="14">
        <f t="shared" si="20"/>
        <v>0</v>
      </c>
      <c r="GP43" s="3">
        <f t="shared" si="21"/>
        <v>0</v>
      </c>
      <c r="GQ43" s="35">
        <f t="shared" si="22"/>
        <v>1</v>
      </c>
      <c r="GR43" s="35">
        <f t="shared" si="23"/>
        <v>0</v>
      </c>
      <c r="GS43" s="35">
        <f t="shared" si="24"/>
        <v>1</v>
      </c>
    </row>
    <row r="44" spans="1:201" x14ac:dyDescent="0.35">
      <c r="A44" s="3" t="s">
        <v>54</v>
      </c>
      <c r="B44" s="3" t="s">
        <v>160</v>
      </c>
      <c r="C44" s="2" t="s">
        <v>146</v>
      </c>
      <c r="D44" s="2" t="s">
        <v>154</v>
      </c>
      <c r="E44" s="2" t="s">
        <v>107</v>
      </c>
      <c r="F44" s="3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30">
        <v>1</v>
      </c>
      <c r="T44" s="30">
        <v>0</v>
      </c>
      <c r="U44" s="30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30">
        <v>7</v>
      </c>
      <c r="AI44" s="30">
        <v>0</v>
      </c>
      <c r="AJ44" s="30">
        <f t="shared" si="6"/>
        <v>7</v>
      </c>
      <c r="AL44" s="14">
        <v>6</v>
      </c>
      <c r="AM44" s="17">
        <v>8.7125000000000004</v>
      </c>
      <c r="AN44" s="3">
        <v>3.2496961960178194</v>
      </c>
      <c r="AO44" s="4">
        <f t="shared" si="7"/>
        <v>0.37299238978683724</v>
      </c>
      <c r="AP44" s="3">
        <v>99323.705526948732</v>
      </c>
      <c r="AQ44" s="17">
        <v>5.5</v>
      </c>
      <c r="AR44" s="17">
        <f t="shared" si="8"/>
        <v>145208.33333333334</v>
      </c>
      <c r="AS44" s="4">
        <f t="shared" si="9"/>
        <v>1</v>
      </c>
      <c r="AT44" s="3"/>
      <c r="AU44" s="3"/>
      <c r="AV44" s="7"/>
      <c r="AW44" s="8">
        <v>6</v>
      </c>
      <c r="AX44" s="8">
        <v>0</v>
      </c>
      <c r="AY44" s="8">
        <f t="shared" si="10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 t="shared" si="11"/>
        <v>20</v>
      </c>
      <c r="GG44" s="14">
        <f t="shared" si="12"/>
        <v>19.912500000000001</v>
      </c>
      <c r="GH44" s="14">
        <f t="shared" si="13"/>
        <v>5.2829451185720586</v>
      </c>
      <c r="GI44" s="4">
        <f t="shared" si="14"/>
        <v>0.26530797833381337</v>
      </c>
      <c r="GJ44" s="3">
        <f t="shared" si="15"/>
        <v>97416.500278302628</v>
      </c>
      <c r="GK44" s="3">
        <f t="shared" si="16"/>
        <v>5.1100000000000003</v>
      </c>
      <c r="GL44" s="17">
        <f t="shared" si="17"/>
        <v>142232.14285714287</v>
      </c>
      <c r="GM44" s="4">
        <f t="shared" si="18"/>
        <v>1</v>
      </c>
      <c r="GN44" s="3">
        <f t="shared" si="19"/>
        <v>1.0416666666666667</v>
      </c>
      <c r="GO44" s="14">
        <f t="shared" si="20"/>
        <v>11.2</v>
      </c>
      <c r="GP44" s="3">
        <f t="shared" si="21"/>
        <v>1.0895719609489818</v>
      </c>
      <c r="GQ44" s="35">
        <f t="shared" si="22"/>
        <v>14</v>
      </c>
      <c r="GR44" s="35">
        <f t="shared" si="23"/>
        <v>0</v>
      </c>
      <c r="GS44" s="35">
        <f t="shared" si="24"/>
        <v>14</v>
      </c>
    </row>
    <row r="45" spans="1:201" x14ac:dyDescent="0.35">
      <c r="A45" s="3" t="s">
        <v>55</v>
      </c>
      <c r="B45" s="3" t="s">
        <v>160</v>
      </c>
      <c r="C45" s="2" t="s">
        <v>146</v>
      </c>
      <c r="D45" s="2" t="s">
        <v>152</v>
      </c>
      <c r="E45" s="2" t="s">
        <v>107</v>
      </c>
      <c r="F45" s="3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30">
        <v>5</v>
      </c>
      <c r="T45" s="30">
        <v>0</v>
      </c>
      <c r="U45" s="30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30">
        <v>7</v>
      </c>
      <c r="AI45" s="30">
        <v>2</v>
      </c>
      <c r="AJ45" s="30">
        <f t="shared" si="6"/>
        <v>9</v>
      </c>
      <c r="AL45" s="14">
        <v>11.1936</v>
      </c>
      <c r="AM45" s="17">
        <v>6.6079999999999997</v>
      </c>
      <c r="AN45" s="3">
        <v>1.4791081425584141</v>
      </c>
      <c r="AO45" s="4">
        <f t="shared" si="7"/>
        <v>0.22383597799007476</v>
      </c>
      <c r="AP45" s="3">
        <v>128222.29643603964</v>
      </c>
      <c r="AQ45" s="17">
        <v>4</v>
      </c>
      <c r="AR45" s="17">
        <f t="shared" si="8"/>
        <v>82600</v>
      </c>
      <c r="AS45" s="4">
        <f t="shared" si="9"/>
        <v>1</v>
      </c>
      <c r="AT45" s="3"/>
      <c r="AU45" s="3"/>
      <c r="AV45" s="7"/>
      <c r="AW45" s="8">
        <v>8</v>
      </c>
      <c r="AX45" s="8">
        <v>0</v>
      </c>
      <c r="AY45" s="8">
        <f t="shared" si="10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 t="shared" si="11"/>
        <v>33.580799999999996</v>
      </c>
      <c r="GG45" s="14">
        <f t="shared" si="12"/>
        <v>20.327999999999999</v>
      </c>
      <c r="GH45" s="14">
        <f t="shared" si="13"/>
        <v>3.4694649962356507</v>
      </c>
      <c r="GI45" s="4">
        <f t="shared" si="14"/>
        <v>0.17067419304583092</v>
      </c>
      <c r="GJ45" s="3">
        <f t="shared" si="15"/>
        <v>125932.52285510996</v>
      </c>
      <c r="GK45" s="3">
        <f t="shared" si="16"/>
        <v>4.333333333333333</v>
      </c>
      <c r="GL45" s="17">
        <f t="shared" si="17"/>
        <v>92400</v>
      </c>
      <c r="GM45" s="4">
        <f t="shared" si="18"/>
        <v>0.90909090909090906</v>
      </c>
      <c r="GN45" s="3">
        <f t="shared" si="19"/>
        <v>1.7916666666666667</v>
      </c>
      <c r="GO45" s="14">
        <f t="shared" si="20"/>
        <v>12.452</v>
      </c>
      <c r="GP45" s="3">
        <f t="shared" si="21"/>
        <v>1.5157500000000002</v>
      </c>
      <c r="GQ45" s="35">
        <f t="shared" si="22"/>
        <v>20</v>
      </c>
      <c r="GR45" s="35">
        <f t="shared" si="23"/>
        <v>2</v>
      </c>
      <c r="GS45" s="35">
        <f t="shared" si="24"/>
        <v>22</v>
      </c>
    </row>
    <row r="46" spans="1:201" x14ac:dyDescent="0.35">
      <c r="A46" s="3" t="s">
        <v>56</v>
      </c>
      <c r="B46" s="3" t="s">
        <v>160</v>
      </c>
      <c r="C46" s="2" t="s">
        <v>142</v>
      </c>
      <c r="D46" s="2" t="s">
        <v>83</v>
      </c>
      <c r="E46" s="2" t="s">
        <v>107</v>
      </c>
      <c r="F46" s="3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30">
        <v>12</v>
      </c>
      <c r="T46" s="30">
        <v>8</v>
      </c>
      <c r="U46" s="30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30">
        <v>16</v>
      </c>
      <c r="AI46" s="30">
        <v>5</v>
      </c>
      <c r="AJ46" s="30">
        <f t="shared" si="6"/>
        <v>21</v>
      </c>
      <c r="AL46" s="14">
        <v>6.3666666666666663</v>
      </c>
      <c r="AM46" s="17">
        <v>5.8000000000000007</v>
      </c>
      <c r="AN46" s="3">
        <v>-0.23228752050186305</v>
      </c>
      <c r="AO46" s="4">
        <f t="shared" si="7"/>
        <v>-4.0049572500321214E-2</v>
      </c>
      <c r="AP46" s="3">
        <v>89766.183340801537</v>
      </c>
      <c r="AQ46" s="17">
        <v>6.7200000000000006</v>
      </c>
      <c r="AR46" s="17">
        <f t="shared" si="8"/>
        <v>15675.675675675677</v>
      </c>
      <c r="AS46" s="4">
        <f t="shared" si="9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10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 t="shared" si="11"/>
        <v>19.099999999999998</v>
      </c>
      <c r="GG46" s="14">
        <f t="shared" si="12"/>
        <v>26.685100000000002</v>
      </c>
      <c r="GH46" s="14">
        <f t="shared" si="13"/>
        <v>9.5218352419306225</v>
      </c>
      <c r="GI46" s="4">
        <f t="shared" si="14"/>
        <v>0.35682216824859647</v>
      </c>
      <c r="GJ46" s="3">
        <f t="shared" si="15"/>
        <v>89026.100791617893</v>
      </c>
      <c r="GK46" s="3">
        <f t="shared" si="16"/>
        <v>6.5633333333333335</v>
      </c>
      <c r="GL46" s="17">
        <f t="shared" si="17"/>
        <v>34211.666666666672</v>
      </c>
      <c r="GM46" s="4">
        <f t="shared" si="18"/>
        <v>0.57692307692307687</v>
      </c>
      <c r="GN46" s="3">
        <f t="shared" si="19"/>
        <v>2.8</v>
      </c>
      <c r="GO46" s="14">
        <f t="shared" si="20"/>
        <v>0</v>
      </c>
      <c r="GP46" s="3">
        <f t="shared" si="21"/>
        <v>1.6135401785714285</v>
      </c>
      <c r="GQ46" s="35">
        <f t="shared" si="22"/>
        <v>45</v>
      </c>
      <c r="GR46" s="35">
        <f t="shared" si="23"/>
        <v>33</v>
      </c>
      <c r="GS46" s="35">
        <f t="shared" si="24"/>
        <v>78</v>
      </c>
    </row>
    <row r="47" spans="1:201" x14ac:dyDescent="0.35">
      <c r="A47" s="3" t="s">
        <v>57</v>
      </c>
      <c r="B47" s="3" t="s">
        <v>160</v>
      </c>
      <c r="C47" s="2" t="s">
        <v>142</v>
      </c>
      <c r="D47" s="2" t="s">
        <v>83</v>
      </c>
      <c r="E47" s="2" t="s">
        <v>107</v>
      </c>
      <c r="F47" s="3" t="s">
        <v>2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30">
        <v>8</v>
      </c>
      <c r="T47" s="30">
        <v>0</v>
      </c>
      <c r="U47" s="30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30">
        <v>7</v>
      </c>
      <c r="AI47" s="30">
        <v>0</v>
      </c>
      <c r="AJ47" s="30">
        <f t="shared" si="6"/>
        <v>7</v>
      </c>
      <c r="AL47" s="14">
        <v>4</v>
      </c>
      <c r="AM47" s="17">
        <v>3.0099499999999999</v>
      </c>
      <c r="AN47" s="3">
        <v>-0.41891504318574463</v>
      </c>
      <c r="AO47" s="4">
        <f t="shared" si="7"/>
        <v>-0.13917674485813539</v>
      </c>
      <c r="AP47" s="3">
        <v>77928.750981494202</v>
      </c>
      <c r="AQ47" s="17">
        <v>4.3999999999999995</v>
      </c>
      <c r="AR47" s="17">
        <f t="shared" si="8"/>
        <v>60199</v>
      </c>
      <c r="AS47" s="4">
        <f t="shared" si="9"/>
        <v>1</v>
      </c>
      <c r="AT47" s="3"/>
      <c r="AU47" s="3"/>
      <c r="AV47" s="7"/>
      <c r="AW47" s="8">
        <v>5</v>
      </c>
      <c r="AX47" s="8">
        <v>0</v>
      </c>
      <c r="AY47" s="8">
        <f t="shared" si="10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 t="shared" si="11"/>
        <v>12</v>
      </c>
      <c r="GG47" s="14">
        <f t="shared" si="12"/>
        <v>13.70505</v>
      </c>
      <c r="GH47" s="14">
        <f t="shared" si="13"/>
        <v>4.9653529176396178</v>
      </c>
      <c r="GI47" s="4">
        <f t="shared" si="14"/>
        <v>0.3623009706378027</v>
      </c>
      <c r="GJ47" s="3">
        <f t="shared" si="15"/>
        <v>82059.907366894491</v>
      </c>
      <c r="GK47" s="3">
        <f t="shared" si="16"/>
        <v>3.6833333333333331</v>
      </c>
      <c r="GL47" s="17">
        <f t="shared" si="17"/>
        <v>68525.25</v>
      </c>
      <c r="GM47" s="4">
        <f t="shared" si="18"/>
        <v>1</v>
      </c>
      <c r="GN47" s="3">
        <f t="shared" si="19"/>
        <v>2.875</v>
      </c>
      <c r="GO47" s="14">
        <f t="shared" si="20"/>
        <v>0</v>
      </c>
      <c r="GP47" s="3">
        <f t="shared" si="21"/>
        <v>1.9314868686868687</v>
      </c>
      <c r="GQ47" s="35">
        <f t="shared" si="22"/>
        <v>20</v>
      </c>
      <c r="GR47" s="35">
        <f t="shared" si="23"/>
        <v>0</v>
      </c>
      <c r="GS47" s="35">
        <f t="shared" si="24"/>
        <v>20</v>
      </c>
    </row>
    <row r="48" spans="1:201" x14ac:dyDescent="0.35">
      <c r="A48" s="3" t="s">
        <v>58</v>
      </c>
      <c r="B48" s="3" t="s">
        <v>160</v>
      </c>
      <c r="C48" s="2" t="s">
        <v>143</v>
      </c>
      <c r="D48" s="2" t="s">
        <v>143</v>
      </c>
      <c r="E48" s="2" t="s">
        <v>107</v>
      </c>
      <c r="F48" s="3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30">
        <v>100</v>
      </c>
      <c r="T48" s="30">
        <v>14</v>
      </c>
      <c r="U48" s="30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30">
        <v>110</v>
      </c>
      <c r="AI48" s="30">
        <v>10</v>
      </c>
      <c r="AJ48" s="30">
        <f t="shared" si="6"/>
        <v>120</v>
      </c>
      <c r="AL48" s="14">
        <v>45.833333333333336</v>
      </c>
      <c r="AM48" s="17">
        <v>65</v>
      </c>
      <c r="AN48" s="3">
        <v>40.458590139103549</v>
      </c>
      <c r="AO48" s="4">
        <f t="shared" si="7"/>
        <v>0.62243984829390075</v>
      </c>
      <c r="AP48" s="3">
        <v>93136.280307007401</v>
      </c>
      <c r="AQ48" s="17">
        <v>26.35</v>
      </c>
      <c r="AR48" s="17">
        <f t="shared" si="8"/>
        <v>50387.596899224809</v>
      </c>
      <c r="AS48" s="4">
        <f t="shared" si="9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10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 t="shared" si="11"/>
        <v>137.5</v>
      </c>
      <c r="GG48" s="14">
        <f t="shared" si="12"/>
        <v>200.4</v>
      </c>
      <c r="GH48" s="14">
        <f t="shared" si="13"/>
        <v>124.75273298998765</v>
      </c>
      <c r="GI48" s="4">
        <f t="shared" si="14"/>
        <v>0.62251862769454913</v>
      </c>
      <c r="GJ48" s="3">
        <f t="shared" si="15"/>
        <v>93961.316082521298</v>
      </c>
      <c r="GK48" s="3">
        <f t="shared" si="16"/>
        <v>26.5</v>
      </c>
      <c r="GL48" s="17">
        <f t="shared" si="17"/>
        <v>55206.611570247929</v>
      </c>
      <c r="GM48" s="4">
        <f t="shared" si="18"/>
        <v>0.77396694214876027</v>
      </c>
      <c r="GN48" s="3">
        <f t="shared" si="19"/>
        <v>5.0573514077163715</v>
      </c>
      <c r="GO48" s="14">
        <f t="shared" si="20"/>
        <v>58.6023</v>
      </c>
      <c r="GP48" s="3">
        <f t="shared" si="21"/>
        <v>2.5484224985131272</v>
      </c>
      <c r="GQ48" s="35">
        <f t="shared" si="22"/>
        <v>280.95</v>
      </c>
      <c r="GR48" s="35">
        <f t="shared" si="23"/>
        <v>82.050000000000011</v>
      </c>
      <c r="GS48" s="35">
        <f t="shared" si="24"/>
        <v>363</v>
      </c>
    </row>
    <row r="49" spans="1:201" x14ac:dyDescent="0.35">
      <c r="A49" s="3" t="s">
        <v>59</v>
      </c>
      <c r="B49" s="3" t="s">
        <v>160</v>
      </c>
      <c r="C49" s="2" t="s">
        <v>142</v>
      </c>
      <c r="D49" s="2" t="s">
        <v>83</v>
      </c>
      <c r="E49" s="2" t="s">
        <v>108</v>
      </c>
      <c r="F49" s="3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30">
        <v>21</v>
      </c>
      <c r="T49" s="30">
        <v>4</v>
      </c>
      <c r="U49" s="30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30">
        <v>39</v>
      </c>
      <c r="AI49" s="30">
        <v>7</v>
      </c>
      <c r="AJ49" s="30">
        <f t="shared" si="6"/>
        <v>46</v>
      </c>
      <c r="AL49" s="14">
        <v>33.83</v>
      </c>
      <c r="AM49" s="17">
        <v>21.794788654999998</v>
      </c>
      <c r="AN49" s="3">
        <v>0.59588056299162562</v>
      </c>
      <c r="AO49" s="4">
        <f t="shared" si="7"/>
        <v>2.7340506596512611E-2</v>
      </c>
      <c r="AP49" s="3">
        <v>95879.276761684188</v>
      </c>
      <c r="AQ49" s="17">
        <v>22.11</v>
      </c>
      <c r="AR49" s="17">
        <f t="shared" si="8"/>
        <v>80721.439462962953</v>
      </c>
      <c r="AS49" s="4">
        <f t="shared" si="9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10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 t="shared" si="11"/>
        <v>81.63</v>
      </c>
      <c r="GG49" s="14">
        <f t="shared" si="12"/>
        <v>64.486587209999982</v>
      </c>
      <c r="GH49" s="14">
        <f t="shared" si="13"/>
        <v>-0.30764216567945135</v>
      </c>
      <c r="GI49" s="4">
        <f t="shared" si="14"/>
        <v>-4.7706380348151696E-3</v>
      </c>
      <c r="GJ49" s="3">
        <f t="shared" si="15"/>
        <v>102186.71857901923</v>
      </c>
      <c r="GK49" s="3">
        <f t="shared" si="16"/>
        <v>21.426666666666666</v>
      </c>
      <c r="GL49" s="17">
        <f t="shared" si="17"/>
        <v>65802.640010204064</v>
      </c>
      <c r="GM49" s="4">
        <f t="shared" si="18"/>
        <v>0.86734693877551017</v>
      </c>
      <c r="GN49" s="3">
        <f t="shared" si="19"/>
        <v>1.6804096638655464</v>
      </c>
      <c r="GO49" s="14">
        <f t="shared" si="20"/>
        <v>42.691798554999991</v>
      </c>
      <c r="GP49" s="3">
        <f t="shared" si="21"/>
        <v>0.90312519736774299</v>
      </c>
      <c r="GQ49" s="35">
        <f t="shared" si="22"/>
        <v>85</v>
      </c>
      <c r="GR49" s="35">
        <f t="shared" si="23"/>
        <v>13</v>
      </c>
      <c r="GS49" s="35">
        <f t="shared" si="24"/>
        <v>98</v>
      </c>
    </row>
    <row r="50" spans="1:201" x14ac:dyDescent="0.35">
      <c r="A50" s="3" t="s">
        <v>82</v>
      </c>
      <c r="B50" s="3" t="s">
        <v>160</v>
      </c>
      <c r="C50" s="2" t="s">
        <v>142</v>
      </c>
      <c r="D50" s="2" t="s">
        <v>127</v>
      </c>
      <c r="E50" s="2" t="s">
        <v>108</v>
      </c>
      <c r="F50" s="3" t="s">
        <v>85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30">
        <v>3</v>
      </c>
      <c r="T50" s="30">
        <v>0</v>
      </c>
      <c r="U50" s="30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30">
        <v>7</v>
      </c>
      <c r="AI50" s="30">
        <v>0</v>
      </c>
      <c r="AJ50" s="30">
        <f t="shared" si="6"/>
        <v>7</v>
      </c>
      <c r="AL50" s="14">
        <v>7.25</v>
      </c>
      <c r="AM50" s="17">
        <v>6.9894499999999997</v>
      </c>
      <c r="AN50" s="3">
        <v>5.3504388498954452</v>
      </c>
      <c r="AO50" s="4">
        <f t="shared" si="7"/>
        <v>0.76550212819255381</v>
      </c>
      <c r="AP50" s="3">
        <v>117072.22500746821</v>
      </c>
      <c r="AQ50" s="17">
        <v>1.4</v>
      </c>
      <c r="AR50" s="17">
        <f t="shared" si="8"/>
        <v>139789</v>
      </c>
      <c r="AS50" s="4">
        <f t="shared" si="9"/>
        <v>1</v>
      </c>
      <c r="AT50" s="3"/>
      <c r="AU50" s="3"/>
      <c r="AV50" s="7"/>
      <c r="AW50" s="8">
        <v>5</v>
      </c>
      <c r="AX50" s="8">
        <v>0</v>
      </c>
      <c r="AY50" s="8">
        <f t="shared" si="10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 t="shared" si="11"/>
        <v>21.75</v>
      </c>
      <c r="GG50" s="14">
        <f t="shared" si="12"/>
        <v>22.600740000000002</v>
      </c>
      <c r="GH50" s="14">
        <f t="shared" si="13"/>
        <v>18.043764736648697</v>
      </c>
      <c r="GI50" s="4">
        <f t="shared" si="14"/>
        <v>0.79837052842733003</v>
      </c>
      <c r="GJ50" s="3">
        <f t="shared" si="15"/>
        <v>114625.27523606234</v>
      </c>
      <c r="GK50" s="3">
        <f t="shared" si="16"/>
        <v>1.3499999999999999</v>
      </c>
      <c r="GL50" s="17">
        <f t="shared" si="17"/>
        <v>150671.6</v>
      </c>
      <c r="GM50" s="4">
        <f t="shared" si="18"/>
        <v>1</v>
      </c>
      <c r="GN50" s="3">
        <f t="shared" si="19"/>
        <v>5</v>
      </c>
      <c r="GO50" s="14">
        <f t="shared" si="20"/>
        <v>0</v>
      </c>
      <c r="GP50" s="3">
        <f t="shared" si="21"/>
        <v>3.7498771250373411</v>
      </c>
      <c r="GQ50" s="35">
        <f t="shared" si="22"/>
        <v>15</v>
      </c>
      <c r="GR50" s="35">
        <f t="shared" si="23"/>
        <v>0</v>
      </c>
      <c r="GS50" s="35">
        <f t="shared" si="24"/>
        <v>15</v>
      </c>
    </row>
    <row r="51" spans="1:201" x14ac:dyDescent="0.35">
      <c r="A51" s="3" t="s">
        <v>30</v>
      </c>
      <c r="B51" s="3" t="s">
        <v>160</v>
      </c>
      <c r="C51" s="2" t="s">
        <v>142</v>
      </c>
      <c r="D51" s="2" t="s">
        <v>83</v>
      </c>
      <c r="E51" s="2" t="s">
        <v>108</v>
      </c>
      <c r="F51" s="3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30">
        <v>0</v>
      </c>
      <c r="T51" s="30">
        <v>0</v>
      </c>
      <c r="U51" s="30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30">
        <v>2</v>
      </c>
      <c r="AI51" s="30">
        <v>0</v>
      </c>
      <c r="AJ51" s="30">
        <f t="shared" si="6"/>
        <v>2</v>
      </c>
      <c r="AL51" s="14">
        <v>19</v>
      </c>
      <c r="AM51" s="17">
        <v>0</v>
      </c>
      <c r="AN51" s="3">
        <v>-7.9195577861623789</v>
      </c>
      <c r="AO51" s="4">
        <f t="shared" si="7"/>
        <v>0</v>
      </c>
      <c r="AP51" s="3">
        <v>131992.62976937299</v>
      </c>
      <c r="AQ51" s="17">
        <v>6</v>
      </c>
      <c r="AR51" s="17">
        <f t="shared" si="8"/>
        <v>0</v>
      </c>
      <c r="AS51" s="4">
        <f t="shared" si="9"/>
        <v>0</v>
      </c>
      <c r="AT51" s="3"/>
      <c r="AU51" s="3"/>
      <c r="AV51" s="7"/>
      <c r="AW51" s="8">
        <v>0</v>
      </c>
      <c r="AX51" s="8">
        <v>0</v>
      </c>
      <c r="AY51" s="8">
        <f t="shared" si="10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 t="shared" si="11"/>
        <v>57</v>
      </c>
      <c r="GG51" s="14">
        <f t="shared" si="12"/>
        <v>0.99424999999999997</v>
      </c>
      <c r="GH51" s="14">
        <f t="shared" si="13"/>
        <v>-22.7757414405445</v>
      </c>
      <c r="GI51" s="4">
        <f t="shared" si="14"/>
        <v>-22.907459331701787</v>
      </c>
      <c r="GJ51" s="3">
        <f t="shared" si="15"/>
        <v>132342.8189065333</v>
      </c>
      <c r="GK51" s="3">
        <f t="shared" si="16"/>
        <v>6.0166666666666666</v>
      </c>
      <c r="GL51" s="17">
        <f t="shared" si="17"/>
        <v>49712.5</v>
      </c>
      <c r="GM51" s="4">
        <f t="shared" si="18"/>
        <v>1</v>
      </c>
      <c r="GN51" s="3">
        <f t="shared" si="19"/>
        <v>0.25</v>
      </c>
      <c r="GO51" s="14">
        <f t="shared" si="20"/>
        <v>0.99424999999999997</v>
      </c>
      <c r="GP51" s="3">
        <f t="shared" si="21"/>
        <v>0.16570833333333332</v>
      </c>
      <c r="GQ51" s="35">
        <f t="shared" si="22"/>
        <v>2</v>
      </c>
      <c r="GR51" s="35">
        <f t="shared" si="23"/>
        <v>0</v>
      </c>
      <c r="GS51" s="35">
        <f t="shared" si="24"/>
        <v>2</v>
      </c>
    </row>
    <row r="52" spans="1:201" x14ac:dyDescent="0.35">
      <c r="A52" s="3" t="s">
        <v>19</v>
      </c>
      <c r="B52" s="3" t="s">
        <v>160</v>
      </c>
      <c r="C52" s="2" t="s">
        <v>142</v>
      </c>
      <c r="D52" s="2" t="s">
        <v>84</v>
      </c>
      <c r="E52" s="2" t="s">
        <v>107</v>
      </c>
      <c r="F52" s="3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30">
        <v>0</v>
      </c>
      <c r="T52" s="30">
        <v>0</v>
      </c>
      <c r="U52" s="30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30">
        <v>0</v>
      </c>
      <c r="AI52" s="30">
        <v>0</v>
      </c>
      <c r="AJ52" s="30">
        <f t="shared" si="6"/>
        <v>0</v>
      </c>
      <c r="AL52" s="14">
        <v>5</v>
      </c>
      <c r="AM52" s="17">
        <v>0.2</v>
      </c>
      <c r="AN52" s="3">
        <v>0.2</v>
      </c>
      <c r="AO52" s="4">
        <f t="shared" si="7"/>
        <v>1</v>
      </c>
      <c r="AP52" s="3">
        <v>0</v>
      </c>
      <c r="AQ52" s="17">
        <v>0</v>
      </c>
      <c r="AR52" s="17">
        <f t="shared" si="8"/>
        <v>20000</v>
      </c>
      <c r="AS52" s="4">
        <f t="shared" si="9"/>
        <v>0</v>
      </c>
      <c r="AT52" s="3"/>
      <c r="AU52" s="3"/>
      <c r="AV52" s="7"/>
      <c r="AW52" s="8">
        <v>0</v>
      </c>
      <c r="AX52" s="8">
        <v>1</v>
      </c>
      <c r="AY52" s="8">
        <f t="shared" si="10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 t="shared" si="11"/>
        <v>8</v>
      </c>
      <c r="GG52" s="14">
        <f t="shared" si="12"/>
        <v>1.2</v>
      </c>
      <c r="GH52" s="14">
        <f t="shared" si="13"/>
        <v>-1.000455951864863</v>
      </c>
      <c r="GI52" s="4">
        <f t="shared" si="14"/>
        <v>-0.83371329322071919</v>
      </c>
      <c r="GJ52" s="3">
        <f t="shared" si="15"/>
        <v>50882.387846625308</v>
      </c>
      <c r="GK52" s="3">
        <f t="shared" si="16"/>
        <v>0.66666666666666663</v>
      </c>
      <c r="GL52" s="17">
        <f t="shared" si="17"/>
        <v>120000</v>
      </c>
      <c r="GM52" s="4">
        <f t="shared" si="18"/>
        <v>0</v>
      </c>
      <c r="GN52" s="3">
        <f t="shared" si="19"/>
        <v>0</v>
      </c>
      <c r="GO52" s="14">
        <f t="shared" si="20"/>
        <v>0</v>
      </c>
      <c r="GP52" s="3">
        <f t="shared" si="21"/>
        <v>0.25</v>
      </c>
      <c r="GQ52" s="35">
        <f t="shared" si="22"/>
        <v>0</v>
      </c>
      <c r="GR52" s="35">
        <f t="shared" si="23"/>
        <v>1</v>
      </c>
      <c r="GS52" s="35">
        <f t="shared" si="24"/>
        <v>1</v>
      </c>
    </row>
    <row r="53" spans="1:201" x14ac:dyDescent="0.35">
      <c r="A53" s="3" t="s">
        <v>61</v>
      </c>
      <c r="B53" s="3" t="s">
        <v>160</v>
      </c>
      <c r="C53" s="2" t="s">
        <v>142</v>
      </c>
      <c r="D53" s="2" t="s">
        <v>84</v>
      </c>
      <c r="E53" s="2" t="s">
        <v>107</v>
      </c>
      <c r="F53" s="3" t="s">
        <v>2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30">
        <v>0</v>
      </c>
      <c r="T53" s="30">
        <v>0</v>
      </c>
      <c r="U53" s="30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123</v>
      </c>
      <c r="AF53" s="3"/>
      <c r="AG53" s="7">
        <v>0</v>
      </c>
      <c r="AH53" s="30">
        <v>0</v>
      </c>
      <c r="AI53" s="30">
        <v>0</v>
      </c>
      <c r="AJ53" s="30">
        <f t="shared" si="6"/>
        <v>0</v>
      </c>
      <c r="AL53" s="14">
        <v>1</v>
      </c>
      <c r="AM53" s="17">
        <v>0</v>
      </c>
      <c r="AN53" s="3">
        <v>0</v>
      </c>
      <c r="AO53" s="4">
        <f t="shared" si="7"/>
        <v>0</v>
      </c>
      <c r="AP53" s="3">
        <v>0</v>
      </c>
      <c r="AQ53" s="17">
        <v>0</v>
      </c>
      <c r="AR53" s="17">
        <f t="shared" si="8"/>
        <v>0</v>
      </c>
      <c r="AS53" s="4">
        <f t="shared" si="9"/>
        <v>0</v>
      </c>
      <c r="AT53" s="3"/>
      <c r="AU53" s="3"/>
      <c r="AV53" s="7"/>
      <c r="AW53" s="8">
        <v>0</v>
      </c>
      <c r="AX53" s="8">
        <v>0</v>
      </c>
      <c r="AY53" s="8">
        <f t="shared" si="10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 t="shared" si="11"/>
        <v>1</v>
      </c>
      <c r="GG53" s="14">
        <f t="shared" si="12"/>
        <v>0</v>
      </c>
      <c r="GH53" s="14">
        <f t="shared" si="13"/>
        <v>0</v>
      </c>
      <c r="GI53" s="4">
        <f t="shared" si="14"/>
        <v>0</v>
      </c>
      <c r="GJ53" s="3">
        <f t="shared" si="15"/>
        <v>0</v>
      </c>
      <c r="GK53" s="3">
        <f t="shared" si="16"/>
        <v>0</v>
      </c>
      <c r="GL53" s="17" t="e">
        <f t="shared" si="17"/>
        <v>#DIV/0!</v>
      </c>
      <c r="GM53" s="4" t="e">
        <f t="shared" si="18"/>
        <v>#DIV/0!</v>
      </c>
      <c r="GN53" s="3" t="e">
        <f t="shared" si="19"/>
        <v>#DIV/0!</v>
      </c>
      <c r="GO53" s="14">
        <f t="shared" si="20"/>
        <v>0</v>
      </c>
      <c r="GP53" s="3">
        <f t="shared" si="21"/>
        <v>0</v>
      </c>
      <c r="GQ53" s="35">
        <f t="shared" si="22"/>
        <v>0</v>
      </c>
      <c r="GR53" s="35">
        <f t="shared" si="23"/>
        <v>0</v>
      </c>
      <c r="GS53" s="35">
        <f t="shared" si="24"/>
        <v>0</v>
      </c>
    </row>
    <row r="54" spans="1:201" x14ac:dyDescent="0.35">
      <c r="A54" s="3" t="s">
        <v>62</v>
      </c>
      <c r="B54" s="3" t="s">
        <v>160</v>
      </c>
      <c r="C54" s="2" t="s">
        <v>146</v>
      </c>
      <c r="D54" s="2" t="s">
        <v>84</v>
      </c>
      <c r="E54" s="2" t="s">
        <v>107</v>
      </c>
      <c r="F54" s="3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30">
        <v>0</v>
      </c>
      <c r="T54" s="30">
        <v>0</v>
      </c>
      <c r="U54" s="30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123</v>
      </c>
      <c r="AF54" s="3"/>
      <c r="AG54" s="7">
        <v>0</v>
      </c>
      <c r="AH54" s="30">
        <v>0</v>
      </c>
      <c r="AI54" s="30">
        <v>0</v>
      </c>
      <c r="AJ54" s="30">
        <f t="shared" si="6"/>
        <v>0</v>
      </c>
      <c r="AL54" s="14">
        <v>0</v>
      </c>
      <c r="AM54" s="17">
        <v>0</v>
      </c>
      <c r="AN54" s="3">
        <v>0</v>
      </c>
      <c r="AO54" s="4">
        <f t="shared" si="7"/>
        <v>0</v>
      </c>
      <c r="AP54" s="3">
        <v>0</v>
      </c>
      <c r="AQ54" s="17">
        <v>0</v>
      </c>
      <c r="AR54" s="17">
        <f t="shared" si="8"/>
        <v>0</v>
      </c>
      <c r="AS54" s="4">
        <f t="shared" si="9"/>
        <v>0</v>
      </c>
      <c r="AT54" s="3"/>
      <c r="AU54" s="3"/>
      <c r="AV54" s="7"/>
      <c r="AW54" s="8">
        <v>0</v>
      </c>
      <c r="AX54" s="8">
        <v>0</v>
      </c>
      <c r="AY54" s="8">
        <f t="shared" si="10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 t="shared" si="11"/>
        <v>0</v>
      </c>
      <c r="GG54" s="14">
        <f t="shared" si="12"/>
        <v>0</v>
      </c>
      <c r="GH54" s="14">
        <f t="shared" si="13"/>
        <v>0</v>
      </c>
      <c r="GI54" s="4">
        <f t="shared" si="14"/>
        <v>0</v>
      </c>
      <c r="GJ54" s="3">
        <f t="shared" si="15"/>
        <v>0</v>
      </c>
      <c r="GK54" s="3">
        <f t="shared" si="16"/>
        <v>0</v>
      </c>
      <c r="GL54" s="17" t="e">
        <f t="shared" si="17"/>
        <v>#DIV/0!</v>
      </c>
      <c r="GM54" s="4" t="e">
        <f t="shared" si="18"/>
        <v>#DIV/0!</v>
      </c>
      <c r="GN54" s="3" t="e">
        <f t="shared" si="19"/>
        <v>#DIV/0!</v>
      </c>
      <c r="GO54" s="14">
        <f t="shared" si="20"/>
        <v>0</v>
      </c>
      <c r="GP54" s="3">
        <f t="shared" si="21"/>
        <v>0</v>
      </c>
      <c r="GQ54" s="35">
        <f t="shared" si="22"/>
        <v>0</v>
      </c>
      <c r="GR54" s="35">
        <f t="shared" si="23"/>
        <v>0</v>
      </c>
      <c r="GS54" s="35">
        <f t="shared" si="24"/>
        <v>0</v>
      </c>
    </row>
    <row r="55" spans="1:201" x14ac:dyDescent="0.35">
      <c r="A55" s="3" t="s">
        <v>65</v>
      </c>
      <c r="B55" s="3" t="s">
        <v>161</v>
      </c>
      <c r="C55" s="2" t="s">
        <v>142</v>
      </c>
      <c r="D55" s="2" t="s">
        <v>127</v>
      </c>
      <c r="E55" s="2" t="s">
        <v>108</v>
      </c>
      <c r="F55" s="3" t="s">
        <v>85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30">
        <v>0</v>
      </c>
      <c r="T55" s="30">
        <v>0</v>
      </c>
      <c r="U55" s="30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30">
        <v>1</v>
      </c>
      <c r="AI55" s="30">
        <v>3</v>
      </c>
      <c r="AJ55" s="30">
        <f t="shared" si="6"/>
        <v>4</v>
      </c>
      <c r="AL55" s="14">
        <v>39.549320000000002</v>
      </c>
      <c r="AM55" s="17">
        <v>22.33839506</v>
      </c>
      <c r="AN55" s="3">
        <v>-3.3123965109090903</v>
      </c>
      <c r="AO55" s="4">
        <f t="shared" si="7"/>
        <v>-0.14828265423778794</v>
      </c>
      <c r="AP55" s="3">
        <v>102194.38872872146</v>
      </c>
      <c r="AQ55" s="17">
        <v>25.1</v>
      </c>
      <c r="AR55" s="17">
        <f t="shared" si="8"/>
        <v>117570.50031578948</v>
      </c>
      <c r="AS55" s="4">
        <f t="shared" si="9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10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 t="shared" si="11"/>
        <v>60.514180000000003</v>
      </c>
      <c r="GG55" s="14">
        <f t="shared" si="12"/>
        <v>45.287295060000005</v>
      </c>
      <c r="GH55" s="14">
        <f t="shared" si="13"/>
        <v>-29.756239018270971</v>
      </c>
      <c r="GI55" s="4">
        <f t="shared" si="14"/>
        <v>-0.6570548976009204</v>
      </c>
      <c r="GJ55" s="3">
        <f t="shared" si="15"/>
        <v>103134.22824872873</v>
      </c>
      <c r="GK55" s="3">
        <f t="shared" si="16"/>
        <v>24.433333333333337</v>
      </c>
      <c r="GL55" s="17">
        <f t="shared" si="17"/>
        <v>196901.28286956524</v>
      </c>
      <c r="GM55" s="4">
        <f t="shared" si="18"/>
        <v>0.52173913043478259</v>
      </c>
      <c r="GN55" s="3">
        <f t="shared" si="19"/>
        <v>4.7619047619047616E-2</v>
      </c>
      <c r="GO55" s="14">
        <f t="shared" si="20"/>
        <v>0</v>
      </c>
      <c r="GP55" s="3">
        <f t="shared" si="21"/>
        <v>0.47267172866973661</v>
      </c>
      <c r="GQ55" s="35">
        <f t="shared" si="22"/>
        <v>12</v>
      </c>
      <c r="GR55" s="35">
        <f t="shared" si="23"/>
        <v>11</v>
      </c>
      <c r="GS55" s="35">
        <f t="shared" si="24"/>
        <v>23</v>
      </c>
    </row>
    <row r="56" spans="1:201" x14ac:dyDescent="0.35">
      <c r="A56" s="3" t="s">
        <v>122</v>
      </c>
      <c r="B56" s="3" t="s">
        <v>161</v>
      </c>
      <c r="C56" s="2" t="s">
        <v>142</v>
      </c>
      <c r="D56" s="2" t="s">
        <v>127</v>
      </c>
      <c r="E56" s="2" t="s">
        <v>108</v>
      </c>
      <c r="F56" s="3" t="s">
        <v>85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30">
        <v>0</v>
      </c>
      <c r="T56" s="30">
        <v>0</v>
      </c>
      <c r="U56" s="30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30">
        <v>1</v>
      </c>
      <c r="AI56" s="30">
        <v>0</v>
      </c>
      <c r="AJ56" s="30">
        <f t="shared" si="6"/>
        <v>1</v>
      </c>
      <c r="AL56" s="14">
        <v>0</v>
      </c>
      <c r="AM56" s="17">
        <v>0</v>
      </c>
      <c r="AN56" s="3">
        <v>0</v>
      </c>
      <c r="AO56" s="4">
        <f t="shared" si="7"/>
        <v>0</v>
      </c>
      <c r="AP56" s="3"/>
      <c r="AQ56" s="17">
        <v>0</v>
      </c>
      <c r="AR56" s="17">
        <f t="shared" si="8"/>
        <v>0</v>
      </c>
      <c r="AS56" s="4">
        <f t="shared" si="9"/>
        <v>0</v>
      </c>
      <c r="AT56" s="3"/>
      <c r="AU56" s="3"/>
      <c r="AV56" s="7"/>
      <c r="AW56" s="8">
        <v>0</v>
      </c>
      <c r="AX56" s="8">
        <v>0</v>
      </c>
      <c r="AY56" s="8">
        <f t="shared" si="10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 t="shared" si="11"/>
        <v>0</v>
      </c>
      <c r="GG56" s="14">
        <f t="shared" si="12"/>
        <v>0.7581</v>
      </c>
      <c r="GH56" s="14">
        <f t="shared" si="13"/>
        <v>0.10297834166742433</v>
      </c>
      <c r="GI56" s="4">
        <f t="shared" si="14"/>
        <v>0.13583741151223364</v>
      </c>
      <c r="GJ56" s="3" t="e">
        <f t="shared" si="15"/>
        <v>#DIV/0!</v>
      </c>
      <c r="GK56" s="3">
        <f t="shared" si="16"/>
        <v>0.5</v>
      </c>
      <c r="GL56" s="17">
        <f t="shared" si="17"/>
        <v>75810</v>
      </c>
      <c r="GM56" s="4">
        <f t="shared" si="18"/>
        <v>1</v>
      </c>
      <c r="GN56" s="3">
        <f t="shared" si="19"/>
        <v>0</v>
      </c>
      <c r="GO56" s="14">
        <f t="shared" si="20"/>
        <v>0</v>
      </c>
      <c r="GP56" s="3">
        <f t="shared" si="21"/>
        <v>1.4043679643603963</v>
      </c>
      <c r="GQ56" s="35">
        <f t="shared" si="22"/>
        <v>1</v>
      </c>
      <c r="GR56" s="35">
        <f t="shared" si="23"/>
        <v>0</v>
      </c>
      <c r="GS56" s="35">
        <f t="shared" si="24"/>
        <v>1</v>
      </c>
    </row>
    <row r="57" spans="1:201" x14ac:dyDescent="0.35">
      <c r="A57" s="3" t="s">
        <v>66</v>
      </c>
      <c r="B57" s="3" t="s">
        <v>160</v>
      </c>
      <c r="C57" s="2" t="s">
        <v>143</v>
      </c>
      <c r="D57" s="2" t="s">
        <v>143</v>
      </c>
      <c r="E57" s="2" t="s">
        <v>107</v>
      </c>
      <c r="F57" s="3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30">
        <v>0</v>
      </c>
      <c r="T57" s="30">
        <v>0</v>
      </c>
      <c r="U57" s="30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30">
        <v>0</v>
      </c>
      <c r="AI57" s="30">
        <v>0</v>
      </c>
      <c r="AJ57" s="30">
        <f t="shared" si="6"/>
        <v>0</v>
      </c>
      <c r="AL57" s="14">
        <v>7</v>
      </c>
      <c r="AM57" s="17">
        <v>0.68772999999999995</v>
      </c>
      <c r="AN57" s="3">
        <v>-0.64681</v>
      </c>
      <c r="AO57" s="4">
        <f t="shared" si="7"/>
        <v>-0.94049990548616469</v>
      </c>
      <c r="AP57" s="3">
        <v>58556.88339256138</v>
      </c>
      <c r="AQ57" s="17">
        <v>2.2999999999999998</v>
      </c>
      <c r="AR57" s="17">
        <f t="shared" si="8"/>
        <v>0</v>
      </c>
      <c r="AS57" s="4">
        <f t="shared" si="9"/>
        <v>0</v>
      </c>
      <c r="AT57" s="3"/>
      <c r="AU57" s="3"/>
      <c r="AV57" s="7"/>
      <c r="AW57" s="8">
        <v>0</v>
      </c>
      <c r="AX57" s="8">
        <v>0</v>
      </c>
      <c r="AY57" s="8">
        <f t="shared" si="10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 t="shared" si="11"/>
        <v>36.664500000000004</v>
      </c>
      <c r="GG57" s="14">
        <f t="shared" si="12"/>
        <v>2.93879</v>
      </c>
      <c r="GH57" s="14">
        <f t="shared" si="13"/>
        <v>-1.6906699999999999</v>
      </c>
      <c r="GI57" s="4">
        <f t="shared" si="14"/>
        <v>-0.57529459403359884</v>
      </c>
      <c r="GJ57" s="3">
        <f t="shared" si="15"/>
        <v>66673.922261707587</v>
      </c>
      <c r="GK57" s="3">
        <f t="shared" si="16"/>
        <v>2.333333333333333</v>
      </c>
      <c r="GL57" s="17" t="e">
        <f t="shared" si="17"/>
        <v>#DIV/0!</v>
      </c>
      <c r="GM57" s="4" t="e">
        <f t="shared" si="18"/>
        <v>#DIV/0!</v>
      </c>
      <c r="GN57" s="3">
        <f t="shared" si="19"/>
        <v>0</v>
      </c>
      <c r="GO57" s="14">
        <f t="shared" si="20"/>
        <v>0.83</v>
      </c>
      <c r="GP57" s="3">
        <f t="shared" si="21"/>
        <v>0.58556883392561376</v>
      </c>
      <c r="GQ57" s="35">
        <f t="shared" si="22"/>
        <v>0</v>
      </c>
      <c r="GR57" s="35">
        <f t="shared" si="23"/>
        <v>0</v>
      </c>
      <c r="GS57" s="35">
        <f t="shared" si="24"/>
        <v>0</v>
      </c>
    </row>
    <row r="58" spans="1:201" x14ac:dyDescent="0.35">
      <c r="A58" s="3" t="s">
        <v>67</v>
      </c>
      <c r="B58" s="3" t="s">
        <v>160</v>
      </c>
      <c r="C58" s="2" t="s">
        <v>147</v>
      </c>
      <c r="D58" s="2" t="s">
        <v>147</v>
      </c>
      <c r="E58" s="2" t="s">
        <v>107</v>
      </c>
      <c r="F58" s="3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30">
        <v>0</v>
      </c>
      <c r="T58" s="30">
        <v>0</v>
      </c>
      <c r="U58" s="30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30"/>
      <c r="AI58" s="30">
        <v>0</v>
      </c>
      <c r="AJ58" s="30">
        <f t="shared" si="6"/>
        <v>0</v>
      </c>
      <c r="AL58" s="14">
        <v>8</v>
      </c>
      <c r="AM58" s="17">
        <v>0</v>
      </c>
      <c r="AN58" s="3">
        <v>-1.7468479643603962</v>
      </c>
      <c r="AO58" s="4">
        <f t="shared" si="7"/>
        <v>0</v>
      </c>
      <c r="AP58" s="3">
        <v>174684.79643603961</v>
      </c>
      <c r="AQ58" s="17">
        <v>1</v>
      </c>
      <c r="AR58" s="17">
        <f t="shared" si="8"/>
        <v>0</v>
      </c>
      <c r="AS58" s="4">
        <f t="shared" si="9"/>
        <v>0</v>
      </c>
      <c r="AT58" s="3"/>
      <c r="AU58" s="3"/>
      <c r="AV58" s="7"/>
      <c r="AW58" s="8">
        <v>0</v>
      </c>
      <c r="AX58" s="8">
        <v>0</v>
      </c>
      <c r="AY58" s="8">
        <f t="shared" si="10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 t="shared" si="11"/>
        <v>17.4129</v>
      </c>
      <c r="GG58" s="14">
        <f t="shared" si="12"/>
        <v>0</v>
      </c>
      <c r="GH58" s="14">
        <f t="shared" si="13"/>
        <v>-3.819916673805277</v>
      </c>
      <c r="GI58" s="4">
        <f t="shared" si="14"/>
        <v>0</v>
      </c>
      <c r="GJ58" s="3">
        <f t="shared" si="15"/>
        <v>190337.78952177661</v>
      </c>
      <c r="GK58" s="3">
        <f t="shared" si="16"/>
        <v>0.76666666666666661</v>
      </c>
      <c r="GL58" s="17" t="e">
        <f t="shared" si="17"/>
        <v>#DIV/0!</v>
      </c>
      <c r="GM58" s="4" t="e">
        <f t="shared" si="18"/>
        <v>#DIV/0!</v>
      </c>
      <c r="GN58" s="3" t="e">
        <f t="shared" si="19"/>
        <v>#DIV/0!</v>
      </c>
      <c r="GO58" s="14">
        <f t="shared" si="20"/>
        <v>0</v>
      </c>
      <c r="GP58" s="3">
        <f t="shared" si="21"/>
        <v>0</v>
      </c>
      <c r="GQ58" s="35">
        <f t="shared" si="22"/>
        <v>0</v>
      </c>
      <c r="GR58" s="35">
        <f t="shared" si="23"/>
        <v>0</v>
      </c>
      <c r="GS58" s="35">
        <f t="shared" si="24"/>
        <v>0</v>
      </c>
    </row>
    <row r="59" spans="1:201" x14ac:dyDescent="0.35">
      <c r="A59" s="16" t="s">
        <v>86</v>
      </c>
      <c r="B59" s="3" t="s">
        <v>160</v>
      </c>
      <c r="C59" s="2" t="s">
        <v>142</v>
      </c>
      <c r="D59" s="2" t="s">
        <v>83</v>
      </c>
      <c r="E59" s="2" t="s">
        <v>108</v>
      </c>
      <c r="F59" s="16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30">
        <v>0</v>
      </c>
      <c r="T59" s="30">
        <v>0</v>
      </c>
      <c r="U59" s="30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30">
        <v>0</v>
      </c>
      <c r="AI59" s="30">
        <v>0</v>
      </c>
      <c r="AJ59" s="30">
        <f t="shared" si="6"/>
        <v>0</v>
      </c>
      <c r="AL59" s="14">
        <v>0</v>
      </c>
      <c r="AM59" s="17">
        <v>2</v>
      </c>
      <c r="AN59" s="3">
        <v>-1.8129418574415861</v>
      </c>
      <c r="AO59" s="4">
        <f t="shared" si="7"/>
        <v>-0.90647092872079305</v>
      </c>
      <c r="AP59" s="3">
        <v>95323.546436039644</v>
      </c>
      <c r="AQ59" s="17">
        <v>4</v>
      </c>
      <c r="AR59" s="17">
        <f t="shared" si="8"/>
        <v>0</v>
      </c>
      <c r="AS59" s="4">
        <f t="shared" si="9"/>
        <v>0</v>
      </c>
      <c r="AT59" s="3"/>
      <c r="AU59" s="3"/>
      <c r="AV59" s="7"/>
      <c r="AW59" s="8">
        <v>0</v>
      </c>
      <c r="AX59" s="8">
        <v>0</v>
      </c>
      <c r="AY59" s="8">
        <f t="shared" si="10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 t="shared" si="11"/>
        <v>0</v>
      </c>
      <c r="GG59" s="14">
        <f t="shared" si="12"/>
        <v>4</v>
      </c>
      <c r="GH59" s="14">
        <f t="shared" si="13"/>
        <v>-4.9430980398657027</v>
      </c>
      <c r="GI59" s="4">
        <f t="shared" si="14"/>
        <v>-1.2357745099664257</v>
      </c>
      <c r="GJ59" s="3">
        <f t="shared" si="15"/>
        <v>79708.384759871871</v>
      </c>
      <c r="GK59" s="3">
        <f t="shared" si="16"/>
        <v>3.8333333333333335</v>
      </c>
      <c r="GL59" s="17" t="e">
        <f t="shared" si="17"/>
        <v>#DIV/0!</v>
      </c>
      <c r="GM59" s="4" t="e">
        <f t="shared" si="18"/>
        <v>#DIV/0!</v>
      </c>
      <c r="GN59" s="3">
        <f t="shared" si="19"/>
        <v>0</v>
      </c>
      <c r="GO59" s="14">
        <f t="shared" si="20"/>
        <v>2</v>
      </c>
      <c r="GP59" s="3">
        <f t="shared" si="21"/>
        <v>0.95323546436039641</v>
      </c>
      <c r="GQ59" s="35">
        <f t="shared" si="22"/>
        <v>0</v>
      </c>
      <c r="GR59" s="35">
        <f t="shared" si="23"/>
        <v>0</v>
      </c>
      <c r="GS59" s="35">
        <f t="shared" si="24"/>
        <v>0</v>
      </c>
    </row>
    <row r="60" spans="1:201" x14ac:dyDescent="0.35">
      <c r="A60" s="16" t="s">
        <v>87</v>
      </c>
      <c r="B60" s="3" t="s">
        <v>160</v>
      </c>
      <c r="C60" s="2" t="s">
        <v>142</v>
      </c>
      <c r="D60" s="2" t="s">
        <v>83</v>
      </c>
      <c r="E60" s="2" t="s">
        <v>108</v>
      </c>
      <c r="F60" s="16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30">
        <v>0</v>
      </c>
      <c r="T60" s="30">
        <v>0</v>
      </c>
      <c r="U60" s="30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30">
        <v>0</v>
      </c>
      <c r="AI60" s="30">
        <v>0</v>
      </c>
      <c r="AJ60" s="30">
        <f t="shared" si="6"/>
        <v>0</v>
      </c>
      <c r="AL60" s="14">
        <v>0</v>
      </c>
      <c r="AM60" s="17">
        <v>2.2799999999999998</v>
      </c>
      <c r="AN60" s="3">
        <v>-0.95684628238930858</v>
      </c>
      <c r="AO60" s="4">
        <f t="shared" si="7"/>
        <v>-0.41966942210057395</v>
      </c>
      <c r="AP60" s="3">
        <v>98086.250981494202</v>
      </c>
      <c r="AQ60" s="17">
        <v>3.3</v>
      </c>
      <c r="AR60" s="17">
        <f t="shared" si="8"/>
        <v>0</v>
      </c>
      <c r="AS60" s="4">
        <f t="shared" si="9"/>
        <v>0</v>
      </c>
      <c r="AT60" s="3"/>
      <c r="AU60" s="3"/>
      <c r="AV60" s="7"/>
      <c r="AW60" s="8">
        <v>0</v>
      </c>
      <c r="AX60" s="8">
        <v>0</v>
      </c>
      <c r="AY60" s="8">
        <f t="shared" si="10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 t="shared" si="11"/>
        <v>0</v>
      </c>
      <c r="GG60" s="14">
        <f t="shared" si="12"/>
        <v>5.7799999999999994</v>
      </c>
      <c r="GH60" s="14">
        <f t="shared" si="13"/>
        <v>-2.3196117864694421</v>
      </c>
      <c r="GI60" s="4">
        <f t="shared" si="14"/>
        <v>-0.40131691807429798</v>
      </c>
      <c r="GJ60" s="3">
        <f t="shared" si="15"/>
        <v>101300.72000306007</v>
      </c>
      <c r="GK60" s="3">
        <f t="shared" si="16"/>
        <v>2.7666666666666671</v>
      </c>
      <c r="GL60" s="17" t="e">
        <f t="shared" si="17"/>
        <v>#DIV/0!</v>
      </c>
      <c r="GM60" s="4" t="e">
        <f t="shared" si="18"/>
        <v>#DIV/0!</v>
      </c>
      <c r="GN60" s="3">
        <f t="shared" si="19"/>
        <v>0.875</v>
      </c>
      <c r="GO60" s="14">
        <f t="shared" si="20"/>
        <v>1.75</v>
      </c>
      <c r="GP60" s="3">
        <f t="shared" si="21"/>
        <v>0.77985739750445637</v>
      </c>
      <c r="GQ60" s="35">
        <f t="shared" si="22"/>
        <v>0</v>
      </c>
      <c r="GR60" s="35">
        <f t="shared" si="23"/>
        <v>0</v>
      </c>
      <c r="GS60" s="35">
        <f t="shared" si="24"/>
        <v>0</v>
      </c>
    </row>
    <row r="61" spans="1:201" x14ac:dyDescent="0.35">
      <c r="A61" s="16" t="s">
        <v>109</v>
      </c>
      <c r="B61" s="3" t="s">
        <v>160</v>
      </c>
      <c r="C61" s="2" t="s">
        <v>109</v>
      </c>
      <c r="D61" s="2" t="s">
        <v>109</v>
      </c>
      <c r="E61" s="2" t="s">
        <v>107</v>
      </c>
      <c r="F61" s="16" t="s">
        <v>109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121</v>
      </c>
      <c r="M61" s="17" t="s">
        <v>121</v>
      </c>
      <c r="N61" s="17">
        <f t="shared" si="1"/>
        <v>0</v>
      </c>
      <c r="O61" s="4">
        <f t="shared" si="2"/>
        <v>0</v>
      </c>
      <c r="P61" s="8"/>
      <c r="Q61" s="6"/>
      <c r="R61" s="7"/>
      <c r="S61" s="30">
        <v>0</v>
      </c>
      <c r="T61" s="30">
        <v>0</v>
      </c>
      <c r="U61" s="30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30"/>
      <c r="AI61" s="30">
        <v>0</v>
      </c>
      <c r="AJ61" s="30">
        <f t="shared" si="6"/>
        <v>0</v>
      </c>
      <c r="AL61" s="14">
        <v>0</v>
      </c>
      <c r="AM61" s="17">
        <v>0</v>
      </c>
      <c r="AN61" s="3">
        <v>0</v>
      </c>
      <c r="AO61" s="4">
        <f t="shared" si="7"/>
        <v>0</v>
      </c>
      <c r="AP61" s="3"/>
      <c r="AQ61" s="17"/>
      <c r="AR61" s="17">
        <f t="shared" si="8"/>
        <v>0</v>
      </c>
      <c r="AS61" s="4">
        <f t="shared" si="9"/>
        <v>0</v>
      </c>
      <c r="AT61" s="8"/>
      <c r="AU61" s="8"/>
      <c r="AV61" s="8"/>
      <c r="AW61" s="8">
        <v>0</v>
      </c>
      <c r="AX61" s="8">
        <v>0</v>
      </c>
      <c r="AY61" s="8">
        <f t="shared" si="10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 t="shared" si="11"/>
        <v>144.66666666666666</v>
      </c>
      <c r="GG61" s="14">
        <f t="shared" si="12"/>
        <v>0</v>
      </c>
      <c r="GH61" s="14">
        <f t="shared" si="13"/>
        <v>0</v>
      </c>
      <c r="GI61" s="4">
        <f t="shared" si="14"/>
        <v>0</v>
      </c>
      <c r="GJ61" s="3" t="e">
        <f t="shared" si="15"/>
        <v>#DIV/0!</v>
      </c>
      <c r="GK61" s="3">
        <f t="shared" si="16"/>
        <v>0</v>
      </c>
      <c r="GL61" s="17" t="e">
        <f t="shared" si="17"/>
        <v>#DIV/0!</v>
      </c>
      <c r="GM61" s="4" t="e">
        <f t="shared" si="18"/>
        <v>#DIV/0!</v>
      </c>
      <c r="GN61" s="3" t="e">
        <f t="shared" si="19"/>
        <v>#DIV/0!</v>
      </c>
      <c r="GO61" s="14">
        <f t="shared" si="20"/>
        <v>0</v>
      </c>
      <c r="GP61" s="3">
        <f t="shared" si="21"/>
        <v>0</v>
      </c>
      <c r="GQ61" s="35">
        <f t="shared" si="22"/>
        <v>0</v>
      </c>
      <c r="GR61" s="35">
        <f t="shared" si="23"/>
        <v>0</v>
      </c>
      <c r="GS61" s="35">
        <f t="shared" si="24"/>
        <v>0</v>
      </c>
    </row>
    <row r="62" spans="1:201" x14ac:dyDescent="0.35">
      <c r="A62" s="16" t="s">
        <v>110</v>
      </c>
      <c r="B62" s="3" t="s">
        <v>161</v>
      </c>
      <c r="C62" s="2" t="s">
        <v>148</v>
      </c>
      <c r="D62" s="2" t="s">
        <v>148</v>
      </c>
      <c r="E62" s="23" t="s">
        <v>107</v>
      </c>
      <c r="F62" s="16" t="s">
        <v>111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121</v>
      </c>
      <c r="M62" s="17" t="s">
        <v>121</v>
      </c>
      <c r="N62" s="17">
        <f t="shared" si="1"/>
        <v>0</v>
      </c>
      <c r="O62" s="4">
        <f t="shared" si="2"/>
        <v>0</v>
      </c>
      <c r="P62" s="8"/>
      <c r="Q62" s="6"/>
      <c r="R62" s="7"/>
      <c r="S62" s="30">
        <v>0</v>
      </c>
      <c r="T62" s="30">
        <v>0</v>
      </c>
      <c r="U62" s="30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123</v>
      </c>
      <c r="AG62" s="7">
        <v>0.93721434545454552</v>
      </c>
      <c r="AH62" s="30">
        <v>0</v>
      </c>
      <c r="AI62" s="30">
        <v>0</v>
      </c>
      <c r="AJ62" s="30">
        <f t="shared" si="6"/>
        <v>0</v>
      </c>
      <c r="AL62" s="14">
        <v>0</v>
      </c>
      <c r="AM62" s="17">
        <v>12.579000000000001</v>
      </c>
      <c r="AN62" s="3">
        <v>6.9557139272727273</v>
      </c>
      <c r="AO62" s="4">
        <f t="shared" si="7"/>
        <v>0.55296239186522989</v>
      </c>
      <c r="AP62" s="3">
        <v>93721.434545454555</v>
      </c>
      <c r="AQ62" s="17">
        <v>6</v>
      </c>
      <c r="AR62" s="17">
        <f t="shared" si="8"/>
        <v>1257900</v>
      </c>
      <c r="AS62" s="4">
        <f t="shared" si="9"/>
        <v>1</v>
      </c>
      <c r="AT62" s="8"/>
      <c r="AU62" s="8"/>
      <c r="AV62" s="8"/>
      <c r="AW62" s="8">
        <v>1</v>
      </c>
      <c r="AX62" s="8">
        <v>0</v>
      </c>
      <c r="AY62" s="8">
        <f t="shared" si="10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 t="shared" si="11"/>
        <v>0</v>
      </c>
      <c r="GG62" s="14">
        <f t="shared" si="12"/>
        <v>24.079000000000001</v>
      </c>
      <c r="GH62" s="14">
        <f t="shared" si="13"/>
        <v>13.709251490909091</v>
      </c>
      <c r="GI62" s="4">
        <f t="shared" si="14"/>
        <v>0.56934471908754891</v>
      </c>
      <c r="GJ62" s="3">
        <f t="shared" si="15"/>
        <v>93721.434545454555</v>
      </c>
      <c r="GK62" s="3">
        <f t="shared" si="16"/>
        <v>6</v>
      </c>
      <c r="GL62" s="17">
        <f t="shared" si="17"/>
        <v>2407900</v>
      </c>
      <c r="GM62" s="4">
        <f t="shared" si="18"/>
        <v>1</v>
      </c>
      <c r="GN62" s="3" t="e">
        <f t="shared" si="19"/>
        <v>#DIV/0!</v>
      </c>
      <c r="GO62" s="14">
        <f t="shared" si="20"/>
        <v>0</v>
      </c>
      <c r="GP62" s="3">
        <f t="shared" si="21"/>
        <v>0.93721434545454552</v>
      </c>
      <c r="GQ62" s="35">
        <f t="shared" si="22"/>
        <v>1</v>
      </c>
      <c r="GR62" s="35">
        <f t="shared" si="23"/>
        <v>0</v>
      </c>
      <c r="GS62" s="35">
        <f t="shared" si="24"/>
        <v>1</v>
      </c>
    </row>
    <row r="63" spans="1:201" x14ac:dyDescent="0.35">
      <c r="A63" s="16" t="s">
        <v>118</v>
      </c>
      <c r="B63" s="3" t="s">
        <v>160</v>
      </c>
      <c r="C63" s="2" t="s">
        <v>146</v>
      </c>
      <c r="D63" s="2" t="s">
        <v>119</v>
      </c>
      <c r="E63" s="23" t="s">
        <v>108</v>
      </c>
      <c r="F63" s="16" t="s">
        <v>70</v>
      </c>
      <c r="G63" s="18"/>
      <c r="H63" s="8"/>
      <c r="I63" s="8"/>
      <c r="J63" s="6">
        <v>0</v>
      </c>
      <c r="K63" s="8"/>
      <c r="L63" s="3" t="s">
        <v>121</v>
      </c>
      <c r="M63" s="17" t="s">
        <v>121</v>
      </c>
      <c r="N63" s="17">
        <f t="shared" si="1"/>
        <v>0</v>
      </c>
      <c r="O63" s="4">
        <f t="shared" si="2"/>
        <v>0</v>
      </c>
      <c r="P63" s="8"/>
      <c r="Q63" s="6"/>
      <c r="R63" s="7"/>
      <c r="S63" s="30">
        <v>0</v>
      </c>
      <c r="T63" s="30">
        <v>0</v>
      </c>
      <c r="U63" s="30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123</v>
      </c>
      <c r="AF63">
        <v>2.12</v>
      </c>
      <c r="AG63" s="7">
        <v>0.7579338902863223</v>
      </c>
      <c r="AH63" s="30">
        <v>0</v>
      </c>
      <c r="AI63" s="30">
        <v>0</v>
      </c>
      <c r="AJ63" s="30">
        <f t="shared" si="6"/>
        <v>0</v>
      </c>
      <c r="AL63" s="14">
        <v>0</v>
      </c>
      <c r="AM63" s="17">
        <v>1.06</v>
      </c>
      <c r="AN63" s="3">
        <v>-0.98642150377307025</v>
      </c>
      <c r="AO63" s="4">
        <f t="shared" si="7"/>
        <v>-0.93058632431421717</v>
      </c>
      <c r="AP63" s="3">
        <v>75793.389028632228</v>
      </c>
      <c r="AQ63" s="17">
        <v>2.7</v>
      </c>
      <c r="AR63" s="17">
        <f t="shared" si="8"/>
        <v>0</v>
      </c>
      <c r="AS63" s="4">
        <f t="shared" si="9"/>
        <v>0</v>
      </c>
      <c r="AT63" s="8"/>
      <c r="AU63" s="8"/>
      <c r="AV63" s="8"/>
      <c r="AW63" s="8">
        <v>0</v>
      </c>
      <c r="AX63" s="8">
        <v>0</v>
      </c>
      <c r="AY63" s="8">
        <f t="shared" si="10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 t="shared" si="11"/>
        <v>0</v>
      </c>
      <c r="GG63" s="14">
        <f t="shared" si="12"/>
        <v>3.18</v>
      </c>
      <c r="GH63" s="14">
        <f t="shared" si="13"/>
        <v>-0.65870645876897904</v>
      </c>
      <c r="GI63" s="4">
        <f t="shared" si="14"/>
        <v>-0.20714039583930158</v>
      </c>
      <c r="GJ63" s="3">
        <f t="shared" si="15"/>
        <v>75793.389028632228</v>
      </c>
      <c r="GK63" s="3">
        <f t="shared" si="16"/>
        <v>2.7</v>
      </c>
      <c r="GL63" s="17" t="e">
        <f t="shared" si="17"/>
        <v>#DIV/0!</v>
      </c>
      <c r="GM63" s="4" t="e">
        <f t="shared" si="18"/>
        <v>#DIV/0!</v>
      </c>
      <c r="GN63" s="3" t="e">
        <f t="shared" si="19"/>
        <v>#DIV/0!</v>
      </c>
      <c r="GO63" s="14">
        <f t="shared" si="20"/>
        <v>2.12</v>
      </c>
      <c r="GP63" s="3">
        <f t="shared" si="21"/>
        <v>0.7579338902863223</v>
      </c>
      <c r="GQ63" s="35">
        <f t="shared" si="22"/>
        <v>0</v>
      </c>
      <c r="GR63" s="35">
        <f t="shared" si="23"/>
        <v>0</v>
      </c>
      <c r="GS63" s="35">
        <f t="shared" si="24"/>
        <v>0</v>
      </c>
    </row>
    <row r="64" spans="1:201" x14ac:dyDescent="0.35">
      <c r="A64" s="16" t="s">
        <v>120</v>
      </c>
      <c r="B64" s="3" t="s">
        <v>160</v>
      </c>
      <c r="C64" s="2" t="s">
        <v>146</v>
      </c>
      <c r="D64" s="2" t="s">
        <v>154</v>
      </c>
      <c r="E64" s="23" t="s">
        <v>107</v>
      </c>
      <c r="F64" s="16" t="s">
        <v>70</v>
      </c>
      <c r="G64" s="18"/>
      <c r="J64" s="29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30">
        <v>0</v>
      </c>
      <c r="T64" s="30">
        <v>0</v>
      </c>
      <c r="U64" s="30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123</v>
      </c>
      <c r="AG64" s="7">
        <v>0</v>
      </c>
      <c r="AH64" s="30">
        <v>0</v>
      </c>
      <c r="AI64" s="30">
        <v>0</v>
      </c>
      <c r="AJ64" s="30">
        <f t="shared" si="6"/>
        <v>0</v>
      </c>
      <c r="AL64" s="14">
        <v>0</v>
      </c>
      <c r="AM64" s="17">
        <v>0</v>
      </c>
      <c r="AN64" s="3">
        <v>-0.14445</v>
      </c>
      <c r="AO64" s="4">
        <f t="shared" si="7"/>
        <v>0</v>
      </c>
      <c r="AP64" s="3">
        <v>0</v>
      </c>
      <c r="AQ64" s="17">
        <v>0</v>
      </c>
      <c r="AR64" s="17">
        <f t="shared" si="8"/>
        <v>0</v>
      </c>
      <c r="AS64" s="4">
        <f t="shared" si="9"/>
        <v>0</v>
      </c>
      <c r="AT64" s="8"/>
      <c r="AU64" s="8"/>
      <c r="AV64" s="8"/>
      <c r="AW64" s="8">
        <v>0</v>
      </c>
      <c r="AX64" s="8">
        <v>0</v>
      </c>
      <c r="AY64" s="8">
        <f t="shared" si="10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 t="shared" si="11"/>
        <v>0</v>
      </c>
      <c r="GG64" s="14">
        <f t="shared" si="12"/>
        <v>0</v>
      </c>
      <c r="GH64" s="14">
        <f t="shared" si="13"/>
        <v>-2.0901109320577023</v>
      </c>
      <c r="GI64" s="4">
        <f t="shared" si="14"/>
        <v>0</v>
      </c>
      <c r="GJ64" s="3">
        <f t="shared" si="15"/>
        <v>221360.52421026168</v>
      </c>
      <c r="GK64" s="3">
        <f t="shared" si="16"/>
        <v>0.11</v>
      </c>
      <c r="GL64" s="17" t="e">
        <f t="shared" si="17"/>
        <v>#DIV/0!</v>
      </c>
      <c r="GM64" s="4" t="e">
        <f t="shared" si="18"/>
        <v>#DIV/0!</v>
      </c>
      <c r="GN64" s="3" t="e">
        <f t="shared" si="19"/>
        <v>#DIV/0!</v>
      </c>
      <c r="GO64" s="14">
        <f t="shared" si="20"/>
        <v>0</v>
      </c>
      <c r="GP64" s="3">
        <f t="shared" si="21"/>
        <v>0</v>
      </c>
      <c r="GQ64" s="35">
        <f t="shared" si="22"/>
        <v>0</v>
      </c>
      <c r="GR64" s="35">
        <f t="shared" si="23"/>
        <v>0</v>
      </c>
      <c r="GS64" s="35">
        <f t="shared" si="24"/>
        <v>0</v>
      </c>
    </row>
    <row r="65" spans="9:34" x14ac:dyDescent="0.35">
      <c r="AH65" s="30"/>
    </row>
    <row r="66" spans="9:34" x14ac:dyDescent="0.35">
      <c r="I66" s="18"/>
      <c r="J66" s="18"/>
      <c r="K66" s="33"/>
      <c r="U66" s="18"/>
    </row>
  </sheetData>
  <mergeCells count="13">
    <mergeCell ref="H1:U1"/>
    <mergeCell ref="W1:AJ1"/>
    <mergeCell ref="AL1:AY1"/>
    <mergeCell ref="BA1:BN1"/>
    <mergeCell ref="BP1:CC1"/>
    <mergeCell ref="FB1:FO1"/>
    <mergeCell ref="FQ1:GD1"/>
    <mergeCell ref="GF1:GS1"/>
    <mergeCell ref="CE1:CR1"/>
    <mergeCell ref="CT1:DG1"/>
    <mergeCell ref="DI1:DV1"/>
    <mergeCell ref="DX1:EK1"/>
    <mergeCell ref="EM1:EZ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workbookViewId="0"/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43" t="s">
        <v>137</v>
      </c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U1" s="43" t="s">
        <v>156</v>
      </c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</row>
    <row r="2" spans="1:32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H2" s="10" t="s">
        <v>112</v>
      </c>
      <c r="I2" s="10" t="s">
        <v>114</v>
      </c>
      <c r="J2" s="10" t="s">
        <v>115</v>
      </c>
      <c r="K2" s="10" t="s">
        <v>128</v>
      </c>
      <c r="L2" s="10" t="s">
        <v>129</v>
      </c>
      <c r="M2" s="10" t="s">
        <v>130</v>
      </c>
      <c r="N2" s="10" t="s">
        <v>131</v>
      </c>
      <c r="O2" s="10" t="s">
        <v>132</v>
      </c>
      <c r="P2" s="10" t="s">
        <v>133</v>
      </c>
      <c r="Q2" s="10" t="s">
        <v>134</v>
      </c>
      <c r="R2" s="10" t="s">
        <v>135</v>
      </c>
      <c r="S2" s="10" t="s">
        <v>136</v>
      </c>
      <c r="U2" s="10" t="s">
        <v>112</v>
      </c>
      <c r="V2" s="10" t="s">
        <v>114</v>
      </c>
      <c r="W2" s="10" t="s">
        <v>115</v>
      </c>
      <c r="X2" s="10" t="s">
        <v>128</v>
      </c>
      <c r="Y2" s="10" t="s">
        <v>129</v>
      </c>
      <c r="Z2" s="10" t="s">
        <v>130</v>
      </c>
      <c r="AA2" s="10" t="s">
        <v>131</v>
      </c>
      <c r="AB2" s="10" t="s">
        <v>132</v>
      </c>
      <c r="AC2" s="10" t="s">
        <v>133</v>
      </c>
      <c r="AD2" s="10" t="s">
        <v>134</v>
      </c>
      <c r="AE2" s="10" t="s">
        <v>135</v>
      </c>
      <c r="AF2" s="10" t="s">
        <v>136</v>
      </c>
    </row>
    <row r="3" spans="1:32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H3">
        <v>209.03094999999999</v>
      </c>
      <c r="I3">
        <v>5.7781500000000001</v>
      </c>
      <c r="J3">
        <v>157.25724</v>
      </c>
      <c r="U3" s="34">
        <v>218.47649999999999</v>
      </c>
      <c r="V3" s="34">
        <v>12.097200000000001</v>
      </c>
      <c r="W3" s="34">
        <v>157.25724</v>
      </c>
    </row>
    <row r="4" spans="1:32" x14ac:dyDescent="0.35">
      <c r="A4" s="3" t="s">
        <v>60</v>
      </c>
      <c r="B4" s="3" t="s">
        <v>160</v>
      </c>
      <c r="C4" s="2" t="s">
        <v>144</v>
      </c>
      <c r="D4" s="2" t="s">
        <v>84</v>
      </c>
      <c r="E4" s="2" t="s">
        <v>107</v>
      </c>
      <c r="F4" s="3" t="s">
        <v>69</v>
      </c>
      <c r="H4">
        <v>0</v>
      </c>
      <c r="I4">
        <v>0</v>
      </c>
      <c r="J4">
        <v>0</v>
      </c>
      <c r="U4" s="34">
        <v>0</v>
      </c>
      <c r="V4" s="34">
        <v>0</v>
      </c>
      <c r="W4" s="34">
        <v>0</v>
      </c>
    </row>
    <row r="5" spans="1:32" x14ac:dyDescent="0.35">
      <c r="A5" s="3" t="s">
        <v>7</v>
      </c>
      <c r="B5" s="3" t="s">
        <v>160</v>
      </c>
      <c r="C5" s="2" t="s">
        <v>142</v>
      </c>
      <c r="D5" s="2" t="s">
        <v>83</v>
      </c>
      <c r="E5" s="2" t="s">
        <v>107</v>
      </c>
      <c r="F5" s="3" t="s">
        <v>2</v>
      </c>
      <c r="H5">
        <v>4.4249999999999998</v>
      </c>
      <c r="I5">
        <v>5.31</v>
      </c>
      <c r="J5">
        <v>1.67265</v>
      </c>
      <c r="U5" s="34">
        <v>11.22977</v>
      </c>
      <c r="V5" s="34">
        <v>15.84271</v>
      </c>
      <c r="W5" s="34">
        <v>0</v>
      </c>
    </row>
    <row r="6" spans="1:32" x14ac:dyDescent="0.35">
      <c r="A6" s="3" t="s">
        <v>37</v>
      </c>
      <c r="B6" s="3" t="s">
        <v>160</v>
      </c>
      <c r="C6" s="2" t="s">
        <v>142</v>
      </c>
      <c r="D6" s="2" t="s">
        <v>127</v>
      </c>
      <c r="E6" s="2" t="s">
        <v>107</v>
      </c>
      <c r="F6" s="3" t="s">
        <v>85</v>
      </c>
      <c r="H6">
        <v>33.97439</v>
      </c>
      <c r="I6">
        <v>6.9029999999999996</v>
      </c>
      <c r="J6">
        <v>6.9029999999999996</v>
      </c>
      <c r="U6" s="34">
        <v>27.071390000000001</v>
      </c>
      <c r="V6" s="34">
        <v>0</v>
      </c>
      <c r="W6" s="34">
        <v>0</v>
      </c>
    </row>
    <row r="7" spans="1:32" x14ac:dyDescent="0.35">
      <c r="A7" s="3" t="s">
        <v>38</v>
      </c>
      <c r="B7" s="3" t="s">
        <v>160</v>
      </c>
      <c r="C7" s="2" t="s">
        <v>146</v>
      </c>
      <c r="D7" s="2" t="s">
        <v>151</v>
      </c>
      <c r="E7" s="2" t="s">
        <v>107</v>
      </c>
      <c r="F7" s="3" t="s">
        <v>70</v>
      </c>
      <c r="H7">
        <v>60.377890000000001</v>
      </c>
      <c r="I7">
        <v>45.98189</v>
      </c>
      <c r="J7">
        <v>43.90775</v>
      </c>
      <c r="U7" s="34">
        <v>8.1212</v>
      </c>
      <c r="V7" s="34">
        <v>99.280510000000007</v>
      </c>
      <c r="W7" s="34">
        <v>43.90775</v>
      </c>
    </row>
    <row r="8" spans="1:32" x14ac:dyDescent="0.35">
      <c r="A8" s="3" t="s">
        <v>39</v>
      </c>
      <c r="B8" s="3" t="s">
        <v>160</v>
      </c>
      <c r="C8" s="2" t="s">
        <v>142</v>
      </c>
      <c r="D8" s="2" t="s">
        <v>127</v>
      </c>
      <c r="E8" s="2" t="s">
        <v>107</v>
      </c>
      <c r="F8" s="3" t="s">
        <v>85</v>
      </c>
      <c r="H8">
        <v>0</v>
      </c>
      <c r="I8">
        <v>0</v>
      </c>
      <c r="J8">
        <v>0</v>
      </c>
      <c r="U8" s="34">
        <v>0</v>
      </c>
      <c r="V8" s="34">
        <v>0</v>
      </c>
      <c r="W8" s="34">
        <v>0</v>
      </c>
    </row>
    <row r="9" spans="1:32" x14ac:dyDescent="0.35">
      <c r="A9" s="3" t="s">
        <v>8</v>
      </c>
      <c r="B9" s="3" t="s">
        <v>160</v>
      </c>
      <c r="C9" s="2" t="s">
        <v>142</v>
      </c>
      <c r="D9" s="2" t="s">
        <v>83</v>
      </c>
      <c r="E9" s="2" t="s">
        <v>107</v>
      </c>
      <c r="F9" s="3" t="s">
        <v>2</v>
      </c>
      <c r="H9">
        <v>25.538</v>
      </c>
      <c r="I9">
        <v>24.357500000000002</v>
      </c>
      <c r="J9">
        <v>40.2331</v>
      </c>
      <c r="U9" s="34">
        <v>2.9150999999999998</v>
      </c>
      <c r="V9" s="34">
        <v>7.7396000000000003</v>
      </c>
      <c r="W9" s="34">
        <v>40.2331</v>
      </c>
    </row>
    <row r="10" spans="1:32" x14ac:dyDescent="0.35">
      <c r="A10" s="3" t="s">
        <v>4</v>
      </c>
      <c r="B10" s="3" t="s">
        <v>160</v>
      </c>
      <c r="C10" s="2" t="s">
        <v>142</v>
      </c>
      <c r="D10" s="2" t="s">
        <v>83</v>
      </c>
      <c r="E10" s="2" t="s">
        <v>107</v>
      </c>
      <c r="F10" s="3" t="s">
        <v>2</v>
      </c>
      <c r="H10">
        <v>14.62623</v>
      </c>
      <c r="I10">
        <v>13.02169</v>
      </c>
      <c r="J10">
        <v>16.294049999999999</v>
      </c>
      <c r="U10" s="34">
        <v>8.0480699999999992</v>
      </c>
      <c r="V10" s="34">
        <v>6.2655000000000003</v>
      </c>
      <c r="W10" s="34">
        <v>16.294049999999999</v>
      </c>
    </row>
    <row r="11" spans="1:32" x14ac:dyDescent="0.35">
      <c r="A11" s="3" t="s">
        <v>9</v>
      </c>
      <c r="B11" s="3" t="s">
        <v>160</v>
      </c>
      <c r="C11" s="2" t="s">
        <v>142</v>
      </c>
      <c r="D11" s="2" t="s">
        <v>83</v>
      </c>
      <c r="E11" s="2" t="s">
        <v>107</v>
      </c>
      <c r="F11" s="3" t="s">
        <v>2</v>
      </c>
      <c r="H11">
        <v>13.60774</v>
      </c>
      <c r="I11">
        <v>21.481169999999999</v>
      </c>
      <c r="J11">
        <v>23.00074</v>
      </c>
      <c r="U11" s="34">
        <v>25.18271</v>
      </c>
      <c r="V11" s="34">
        <v>4.6232899999999999</v>
      </c>
      <c r="W11" s="34">
        <v>23.00074</v>
      </c>
    </row>
    <row r="12" spans="1:32" x14ac:dyDescent="0.35">
      <c r="A12" s="3" t="s">
        <v>40</v>
      </c>
      <c r="B12" s="3" t="s">
        <v>160</v>
      </c>
      <c r="C12" s="2" t="s">
        <v>145</v>
      </c>
      <c r="D12" s="2" t="s">
        <v>145</v>
      </c>
      <c r="E12" s="2" t="s">
        <v>107</v>
      </c>
      <c r="F12" s="3" t="s">
        <v>71</v>
      </c>
      <c r="H12">
        <v>301.86070000000001</v>
      </c>
      <c r="I12">
        <v>252.37766999999999</v>
      </c>
      <c r="J12">
        <v>266.71429000000001</v>
      </c>
      <c r="U12" s="34">
        <v>302.00304999999997</v>
      </c>
      <c r="V12" s="34">
        <v>260.64585</v>
      </c>
      <c r="W12" s="34">
        <v>266.71429000000001</v>
      </c>
    </row>
    <row r="13" spans="1:32" x14ac:dyDescent="0.35">
      <c r="A13" s="3" t="s">
        <v>41</v>
      </c>
      <c r="B13" s="3" t="s">
        <v>161</v>
      </c>
      <c r="C13" s="2" t="s">
        <v>146</v>
      </c>
      <c r="D13" s="2" t="s">
        <v>154</v>
      </c>
      <c r="E13" s="2" t="s">
        <v>107</v>
      </c>
      <c r="F13" s="3" t="s">
        <v>70</v>
      </c>
      <c r="H13">
        <v>0</v>
      </c>
      <c r="I13">
        <v>0</v>
      </c>
      <c r="J13">
        <v>0</v>
      </c>
      <c r="U13" s="34">
        <v>3.835</v>
      </c>
      <c r="V13" s="34">
        <v>4.9482799999999996</v>
      </c>
      <c r="W13" s="34">
        <v>0</v>
      </c>
    </row>
    <row r="14" spans="1:32" x14ac:dyDescent="0.35">
      <c r="A14" s="3" t="s">
        <v>13</v>
      </c>
      <c r="B14" s="3" t="s">
        <v>160</v>
      </c>
      <c r="C14" s="2" t="s">
        <v>142</v>
      </c>
      <c r="D14" s="2" t="s">
        <v>83</v>
      </c>
      <c r="E14" s="2" t="s">
        <v>107</v>
      </c>
      <c r="F14" s="3" t="s">
        <v>2</v>
      </c>
      <c r="H14">
        <v>8.0977499999999996</v>
      </c>
      <c r="I14">
        <v>8.0977499999999996</v>
      </c>
      <c r="J14">
        <v>0</v>
      </c>
      <c r="U14" s="34">
        <v>8.6328800000000001</v>
      </c>
      <c r="V14" s="34">
        <v>0</v>
      </c>
      <c r="W14" s="34">
        <v>8.0977499999999996</v>
      </c>
    </row>
    <row r="15" spans="1:32" x14ac:dyDescent="0.35">
      <c r="A15" s="3" t="s">
        <v>23</v>
      </c>
      <c r="B15" s="3" t="s">
        <v>160</v>
      </c>
      <c r="C15" s="2" t="s">
        <v>142</v>
      </c>
      <c r="D15" s="2" t="s">
        <v>84</v>
      </c>
      <c r="E15" s="2" t="s">
        <v>107</v>
      </c>
      <c r="F15" s="3" t="s">
        <v>2</v>
      </c>
      <c r="H15">
        <v>0</v>
      </c>
      <c r="I15">
        <v>0</v>
      </c>
      <c r="J15">
        <v>0</v>
      </c>
      <c r="U15" s="34">
        <v>0</v>
      </c>
      <c r="V15" s="34">
        <v>0</v>
      </c>
      <c r="W15" s="34">
        <v>0</v>
      </c>
    </row>
    <row r="16" spans="1:32" x14ac:dyDescent="0.35">
      <c r="A16" s="3" t="s">
        <v>42</v>
      </c>
      <c r="B16" s="3" t="s">
        <v>160</v>
      </c>
      <c r="C16" s="2" t="s">
        <v>146</v>
      </c>
      <c r="D16" s="2" t="s">
        <v>150</v>
      </c>
      <c r="E16" s="2" t="s">
        <v>107</v>
      </c>
      <c r="F16" s="3" t="s">
        <v>70</v>
      </c>
      <c r="H16">
        <v>0.12920000000000001</v>
      </c>
      <c r="I16">
        <v>0.12920000000000001</v>
      </c>
      <c r="J16">
        <v>0.25840000000000002</v>
      </c>
      <c r="U16" s="34">
        <v>0</v>
      </c>
      <c r="V16" s="34">
        <v>10.698589999999999</v>
      </c>
      <c r="W16" s="34">
        <v>0.25</v>
      </c>
    </row>
    <row r="17" spans="1:23" x14ac:dyDescent="0.35">
      <c r="A17" s="3" t="s">
        <v>10</v>
      </c>
      <c r="B17" s="3" t="s">
        <v>160</v>
      </c>
      <c r="C17" s="2" t="s">
        <v>142</v>
      </c>
      <c r="D17" s="2" t="s">
        <v>153</v>
      </c>
      <c r="E17" s="2" t="s">
        <v>107</v>
      </c>
      <c r="F17" s="3" t="s">
        <v>2</v>
      </c>
      <c r="H17">
        <v>192.66171</v>
      </c>
      <c r="I17">
        <v>184.90898000000001</v>
      </c>
      <c r="J17">
        <v>278.08467000000002</v>
      </c>
      <c r="U17" s="34">
        <v>145.7782</v>
      </c>
      <c r="V17" s="34">
        <v>54.552979999999998</v>
      </c>
      <c r="W17" s="34">
        <v>258.08467000000002</v>
      </c>
    </row>
    <row r="18" spans="1:23" x14ac:dyDescent="0.35">
      <c r="A18" s="3" t="s">
        <v>20</v>
      </c>
      <c r="B18" s="3" t="s">
        <v>160</v>
      </c>
      <c r="C18" s="2" t="s">
        <v>142</v>
      </c>
      <c r="D18" s="2" t="s">
        <v>84</v>
      </c>
      <c r="E18" s="2" t="s">
        <v>107</v>
      </c>
      <c r="F18" s="3" t="s">
        <v>2</v>
      </c>
      <c r="H18">
        <v>0</v>
      </c>
      <c r="I18">
        <v>0</v>
      </c>
      <c r="J18">
        <v>0</v>
      </c>
      <c r="U18" s="34">
        <v>0</v>
      </c>
      <c r="V18" s="34">
        <v>0</v>
      </c>
      <c r="W18" s="34">
        <v>0</v>
      </c>
    </row>
    <row r="19" spans="1:23" x14ac:dyDescent="0.35">
      <c r="A19" s="3" t="s">
        <v>43</v>
      </c>
      <c r="B19" s="3" t="s">
        <v>161</v>
      </c>
      <c r="C19" s="2" t="s">
        <v>143</v>
      </c>
      <c r="D19" s="2" t="s">
        <v>155</v>
      </c>
      <c r="E19" s="2" t="s">
        <v>107</v>
      </c>
      <c r="F19" s="3" t="s">
        <v>72</v>
      </c>
      <c r="H19">
        <v>5.0739999999999998</v>
      </c>
      <c r="I19">
        <v>12.685</v>
      </c>
      <c r="J19">
        <v>11.90325</v>
      </c>
      <c r="U19" s="34">
        <v>18.349</v>
      </c>
      <c r="V19" s="34">
        <v>41.954999999999998</v>
      </c>
      <c r="W19" s="34">
        <v>11.90325</v>
      </c>
    </row>
    <row r="20" spans="1:23" x14ac:dyDescent="0.35">
      <c r="A20" s="3" t="s">
        <v>11</v>
      </c>
      <c r="B20" s="3" t="s">
        <v>160</v>
      </c>
      <c r="C20" s="2" t="s">
        <v>142</v>
      </c>
      <c r="D20" s="2" t="s">
        <v>83</v>
      </c>
      <c r="E20" s="2" t="s">
        <v>107</v>
      </c>
      <c r="F20" s="3" t="s">
        <v>2</v>
      </c>
      <c r="H20">
        <v>33.001609999999999</v>
      </c>
      <c r="I20">
        <v>33.001609999999999</v>
      </c>
      <c r="J20">
        <v>20.862459999999999</v>
      </c>
      <c r="U20" s="34">
        <v>0</v>
      </c>
      <c r="V20" s="34">
        <v>33.001609999999999</v>
      </c>
      <c r="W20" s="34">
        <v>20.862459999999999</v>
      </c>
    </row>
    <row r="21" spans="1:23" x14ac:dyDescent="0.35">
      <c r="A21" s="3" t="s">
        <v>12</v>
      </c>
      <c r="B21" s="3" t="s">
        <v>160</v>
      </c>
      <c r="C21" s="2" t="s">
        <v>142</v>
      </c>
      <c r="D21" s="2" t="s">
        <v>149</v>
      </c>
      <c r="E21" s="2" t="s">
        <v>107</v>
      </c>
      <c r="F21" s="3" t="s">
        <v>2</v>
      </c>
      <c r="H21">
        <v>69.169240000000002</v>
      </c>
      <c r="I21">
        <v>69.231210000000004</v>
      </c>
      <c r="J21">
        <v>125.17650999999999</v>
      </c>
      <c r="U21" s="34">
        <v>0</v>
      </c>
      <c r="V21" s="34">
        <v>237.30978999999999</v>
      </c>
      <c r="W21" s="34">
        <v>125.17650999999999</v>
      </c>
    </row>
    <row r="22" spans="1:23" x14ac:dyDescent="0.35">
      <c r="A22" s="3" t="s">
        <v>22</v>
      </c>
      <c r="B22" s="3" t="s">
        <v>160</v>
      </c>
      <c r="C22" s="2" t="s">
        <v>142</v>
      </c>
      <c r="D22" s="2" t="s">
        <v>149</v>
      </c>
      <c r="E22" s="2" t="s">
        <v>107</v>
      </c>
      <c r="F22" s="3" t="s">
        <v>2</v>
      </c>
      <c r="H22">
        <v>0</v>
      </c>
      <c r="I22">
        <v>0</v>
      </c>
      <c r="J22">
        <v>0</v>
      </c>
      <c r="U22" s="34">
        <v>0</v>
      </c>
      <c r="V22" s="34">
        <v>0</v>
      </c>
      <c r="W22" s="34">
        <v>0</v>
      </c>
    </row>
    <row r="23" spans="1:23" x14ac:dyDescent="0.35">
      <c r="A23" s="3" t="s">
        <v>44</v>
      </c>
      <c r="B23" s="3" t="s">
        <v>160</v>
      </c>
      <c r="C23" s="2" t="s">
        <v>146</v>
      </c>
      <c r="D23" s="2" t="s">
        <v>154</v>
      </c>
      <c r="E23" s="2" t="s">
        <v>107</v>
      </c>
      <c r="F23" s="3" t="s">
        <v>70</v>
      </c>
      <c r="H23">
        <v>29.854939999999999</v>
      </c>
      <c r="I23">
        <v>31.197189999999999</v>
      </c>
      <c r="J23">
        <v>31.197189999999999</v>
      </c>
      <c r="U23" s="34">
        <v>0</v>
      </c>
      <c r="V23" s="34">
        <v>0</v>
      </c>
      <c r="W23" s="34">
        <v>0</v>
      </c>
    </row>
    <row r="24" spans="1:23" x14ac:dyDescent="0.35">
      <c r="A24" s="3" t="s">
        <v>45</v>
      </c>
      <c r="B24" s="3" t="s">
        <v>161</v>
      </c>
      <c r="C24" s="2" t="s">
        <v>142</v>
      </c>
      <c r="D24" s="2" t="s">
        <v>127</v>
      </c>
      <c r="E24" s="2" t="s">
        <v>107</v>
      </c>
      <c r="F24" s="3" t="s">
        <v>85</v>
      </c>
      <c r="H24">
        <v>102.73174</v>
      </c>
      <c r="I24">
        <v>107.94423</v>
      </c>
      <c r="J24">
        <v>109.82378</v>
      </c>
      <c r="U24" s="34">
        <v>0.31859999999999999</v>
      </c>
      <c r="V24" s="34">
        <v>6.2356999999999996E-2</v>
      </c>
      <c r="W24" s="34">
        <v>109.82378</v>
      </c>
    </row>
    <row r="25" spans="1:23" x14ac:dyDescent="0.35">
      <c r="A25" s="3" t="s">
        <v>3</v>
      </c>
      <c r="B25" s="3" t="s">
        <v>160</v>
      </c>
      <c r="C25" s="2" t="s">
        <v>142</v>
      </c>
      <c r="D25" s="2" t="s">
        <v>83</v>
      </c>
      <c r="E25" s="2" t="s">
        <v>107</v>
      </c>
      <c r="F25" s="3" t="s">
        <v>2</v>
      </c>
      <c r="H25">
        <v>19.528680000000001</v>
      </c>
      <c r="I25">
        <v>26.641570000000002</v>
      </c>
      <c r="J25">
        <v>46.514189999999999</v>
      </c>
      <c r="U25" s="34">
        <v>0</v>
      </c>
      <c r="V25" s="34">
        <v>0</v>
      </c>
      <c r="W25" s="34">
        <v>46.514189999999999</v>
      </c>
    </row>
    <row r="26" spans="1:23" x14ac:dyDescent="0.35">
      <c r="A26" s="3" t="s">
        <v>46</v>
      </c>
      <c r="B26" s="3" t="s">
        <v>160</v>
      </c>
      <c r="C26" s="2" t="s">
        <v>146</v>
      </c>
      <c r="D26" s="2" t="s">
        <v>146</v>
      </c>
      <c r="E26" s="2" t="s">
        <v>107</v>
      </c>
      <c r="F26" s="3" t="s">
        <v>70</v>
      </c>
      <c r="H26">
        <v>0</v>
      </c>
      <c r="I26">
        <v>80.457930000000005</v>
      </c>
      <c r="J26">
        <v>80.457930000000005</v>
      </c>
      <c r="U26" s="34">
        <v>0</v>
      </c>
      <c r="V26" s="34">
        <v>0</v>
      </c>
      <c r="W26" s="34">
        <v>80.457930000000005</v>
      </c>
    </row>
    <row r="27" spans="1:23" x14ac:dyDescent="0.35">
      <c r="A27" s="3" t="s">
        <v>63</v>
      </c>
      <c r="B27" s="3" t="s">
        <v>160</v>
      </c>
      <c r="C27" s="2" t="s">
        <v>146</v>
      </c>
      <c r="D27" s="2" t="s">
        <v>84</v>
      </c>
      <c r="E27" s="2" t="s">
        <v>107</v>
      </c>
      <c r="F27" s="3" t="s">
        <v>70</v>
      </c>
      <c r="H27">
        <v>0</v>
      </c>
      <c r="I27">
        <v>0</v>
      </c>
      <c r="J27">
        <v>0</v>
      </c>
      <c r="U27" s="34">
        <v>0</v>
      </c>
      <c r="V27" s="34">
        <v>0</v>
      </c>
      <c r="W27" s="34">
        <v>0</v>
      </c>
    </row>
    <row r="28" spans="1:23" x14ac:dyDescent="0.35">
      <c r="A28" s="3" t="s">
        <v>47</v>
      </c>
      <c r="B28" s="3" t="s">
        <v>160</v>
      </c>
      <c r="C28" s="2" t="s">
        <v>142</v>
      </c>
      <c r="D28" s="2" t="s">
        <v>127</v>
      </c>
      <c r="E28" s="2" t="s">
        <v>107</v>
      </c>
      <c r="F28" s="3" t="s">
        <v>85</v>
      </c>
      <c r="H28">
        <v>49.079369999999997</v>
      </c>
      <c r="I28">
        <v>49.669370000000001</v>
      </c>
      <c r="J28">
        <v>1.76999</v>
      </c>
      <c r="U28" s="34">
        <v>19.857710000000001</v>
      </c>
      <c r="V28" s="34">
        <v>74.202240000000003</v>
      </c>
      <c r="W28" s="34">
        <v>1.76999</v>
      </c>
    </row>
    <row r="29" spans="1:23" x14ac:dyDescent="0.35">
      <c r="A29" s="3" t="s">
        <v>5</v>
      </c>
      <c r="B29" s="3" t="s">
        <v>160</v>
      </c>
      <c r="C29" s="2" t="s">
        <v>142</v>
      </c>
      <c r="D29" s="2" t="s">
        <v>83</v>
      </c>
      <c r="E29" s="2" t="s">
        <v>107</v>
      </c>
      <c r="F29" s="3" t="s">
        <v>2</v>
      </c>
      <c r="H29">
        <v>63.031059999999997</v>
      </c>
      <c r="I29">
        <v>53.64696</v>
      </c>
      <c r="J29">
        <v>26.540970000000002</v>
      </c>
      <c r="U29" s="34">
        <v>5.1576300000000002</v>
      </c>
      <c r="V29" s="34">
        <v>27.28755</v>
      </c>
      <c r="W29" s="34">
        <v>26.540970000000002</v>
      </c>
    </row>
    <row r="30" spans="1:23" x14ac:dyDescent="0.35">
      <c r="A30" s="3" t="s">
        <v>21</v>
      </c>
      <c r="B30" s="3" t="s">
        <v>160</v>
      </c>
      <c r="C30" s="2" t="s">
        <v>142</v>
      </c>
      <c r="D30" s="2" t="s">
        <v>84</v>
      </c>
      <c r="E30" s="2" t="s">
        <v>107</v>
      </c>
      <c r="F30" s="3" t="s">
        <v>2</v>
      </c>
      <c r="H30">
        <v>0</v>
      </c>
      <c r="I30">
        <v>0</v>
      </c>
      <c r="J30">
        <v>0</v>
      </c>
      <c r="U30" s="34">
        <v>0</v>
      </c>
      <c r="V30" s="34">
        <v>0</v>
      </c>
      <c r="W30" s="34">
        <v>0</v>
      </c>
    </row>
    <row r="31" spans="1:23" x14ac:dyDescent="0.35">
      <c r="A31" s="3" t="s">
        <v>48</v>
      </c>
      <c r="B31" s="3" t="s">
        <v>160</v>
      </c>
      <c r="C31" s="2" t="s">
        <v>142</v>
      </c>
      <c r="D31" s="2" t="s">
        <v>127</v>
      </c>
      <c r="E31" s="2" t="s">
        <v>107</v>
      </c>
      <c r="F31" s="3" t="s">
        <v>85</v>
      </c>
      <c r="H31">
        <v>0</v>
      </c>
      <c r="I31">
        <v>0</v>
      </c>
      <c r="J31">
        <v>0</v>
      </c>
      <c r="U31" s="34">
        <v>79.234589999999997</v>
      </c>
      <c r="V31" s="34">
        <v>0</v>
      </c>
      <c r="W31" s="34">
        <v>0</v>
      </c>
    </row>
    <row r="32" spans="1:23" x14ac:dyDescent="0.35">
      <c r="A32" s="3" t="s">
        <v>14</v>
      </c>
      <c r="B32" s="3" t="s">
        <v>160</v>
      </c>
      <c r="C32" s="2" t="s">
        <v>142</v>
      </c>
      <c r="D32" s="2" t="s">
        <v>83</v>
      </c>
      <c r="E32" s="2" t="s">
        <v>107</v>
      </c>
      <c r="F32" s="3" t="s">
        <v>2</v>
      </c>
      <c r="H32">
        <v>0</v>
      </c>
      <c r="I32">
        <v>34.723619999999997</v>
      </c>
      <c r="J32">
        <v>0</v>
      </c>
      <c r="U32" s="34">
        <v>22.46106</v>
      </c>
      <c r="V32" s="34">
        <v>34.723619999999997</v>
      </c>
      <c r="W32" s="34">
        <v>0</v>
      </c>
    </row>
    <row r="33" spans="1:23" x14ac:dyDescent="0.35">
      <c r="A33" s="3" t="s">
        <v>15</v>
      </c>
      <c r="B33" s="3" t="s">
        <v>160</v>
      </c>
      <c r="C33" s="2" t="s">
        <v>142</v>
      </c>
      <c r="D33" s="2" t="s">
        <v>83</v>
      </c>
      <c r="E33" s="2" t="s">
        <v>107</v>
      </c>
      <c r="F33" s="3" t="s">
        <v>2</v>
      </c>
      <c r="H33">
        <v>4.1712100000000003</v>
      </c>
      <c r="I33">
        <v>4.1712100000000003</v>
      </c>
      <c r="J33">
        <v>4.1712100000000003</v>
      </c>
      <c r="U33" s="34">
        <v>0</v>
      </c>
      <c r="V33" s="34">
        <v>0</v>
      </c>
      <c r="W33" s="34">
        <v>4.1712100000000003</v>
      </c>
    </row>
    <row r="34" spans="1:23" x14ac:dyDescent="0.35">
      <c r="A34" s="3" t="s">
        <v>16</v>
      </c>
      <c r="B34" s="3" t="s">
        <v>160</v>
      </c>
      <c r="C34" s="2" t="s">
        <v>142</v>
      </c>
      <c r="D34" s="2" t="s">
        <v>83</v>
      </c>
      <c r="E34" s="2" t="s">
        <v>107</v>
      </c>
      <c r="F34" s="3" t="s">
        <v>2</v>
      </c>
      <c r="H34">
        <v>0</v>
      </c>
      <c r="I34">
        <v>0.58031999999999995</v>
      </c>
      <c r="J34">
        <v>0</v>
      </c>
      <c r="U34" s="34">
        <v>3.8043200000000001</v>
      </c>
      <c r="V34" s="34">
        <v>4.0622400000000001</v>
      </c>
      <c r="W34" s="34">
        <v>0</v>
      </c>
    </row>
    <row r="35" spans="1:23" x14ac:dyDescent="0.35">
      <c r="A35" s="3" t="s">
        <v>49</v>
      </c>
      <c r="B35" s="3" t="s">
        <v>160</v>
      </c>
      <c r="C35" s="2" t="s">
        <v>142</v>
      </c>
      <c r="D35" s="2" t="s">
        <v>83</v>
      </c>
      <c r="E35" s="2" t="s">
        <v>107</v>
      </c>
      <c r="F35" s="3" t="s">
        <v>2</v>
      </c>
      <c r="H35">
        <v>0</v>
      </c>
      <c r="I35">
        <v>3.4724499999999998</v>
      </c>
      <c r="J35">
        <v>13.613350000000001</v>
      </c>
      <c r="U35" s="34">
        <v>0</v>
      </c>
      <c r="V35" s="34">
        <v>0</v>
      </c>
      <c r="W35" s="34">
        <v>13.613350000000001</v>
      </c>
    </row>
    <row r="36" spans="1:23" x14ac:dyDescent="0.35">
      <c r="A36" s="3" t="s">
        <v>17</v>
      </c>
      <c r="B36" s="3" t="s">
        <v>160</v>
      </c>
      <c r="C36" s="2" t="s">
        <v>142</v>
      </c>
      <c r="D36" s="2" t="s">
        <v>83</v>
      </c>
      <c r="E36" s="2" t="s">
        <v>107</v>
      </c>
      <c r="F36" s="3" t="s">
        <v>2</v>
      </c>
      <c r="H36">
        <v>0.22192000000000001</v>
      </c>
      <c r="I36">
        <v>3.1316000000000002</v>
      </c>
      <c r="J36">
        <v>11.86904</v>
      </c>
      <c r="U36" s="34">
        <v>7.3135000000000003</v>
      </c>
      <c r="V36" s="34">
        <v>0</v>
      </c>
      <c r="W36" s="34">
        <v>11.86904</v>
      </c>
    </row>
    <row r="37" spans="1:23" x14ac:dyDescent="0.35">
      <c r="A37" s="3" t="s">
        <v>18</v>
      </c>
      <c r="B37" s="3" t="s">
        <v>160</v>
      </c>
      <c r="C37" s="2" t="s">
        <v>142</v>
      </c>
      <c r="D37" s="2" t="s">
        <v>83</v>
      </c>
      <c r="E37" s="2" t="s">
        <v>107</v>
      </c>
      <c r="F37" s="3" t="s">
        <v>2</v>
      </c>
      <c r="H37">
        <v>0</v>
      </c>
      <c r="I37">
        <v>0</v>
      </c>
      <c r="J37">
        <v>47.640430000000002</v>
      </c>
      <c r="U37" s="34">
        <v>38.47363</v>
      </c>
      <c r="V37" s="34">
        <v>0</v>
      </c>
      <c r="W37" s="34">
        <v>47.640430000000002</v>
      </c>
    </row>
    <row r="38" spans="1:23" x14ac:dyDescent="0.35">
      <c r="A38" s="3" t="s">
        <v>50</v>
      </c>
      <c r="B38" s="3" t="s">
        <v>161</v>
      </c>
      <c r="C38" s="2" t="s">
        <v>146</v>
      </c>
      <c r="D38" s="2" t="s">
        <v>150</v>
      </c>
      <c r="E38" s="2" t="s">
        <v>107</v>
      </c>
      <c r="F38" s="3" t="s">
        <v>70</v>
      </c>
      <c r="H38">
        <v>0</v>
      </c>
      <c r="I38">
        <v>0</v>
      </c>
      <c r="J38">
        <v>0</v>
      </c>
      <c r="U38" s="34">
        <v>17.555409999999998</v>
      </c>
      <c r="V38" s="34">
        <v>14.72293</v>
      </c>
      <c r="W38" s="34">
        <v>0</v>
      </c>
    </row>
    <row r="39" spans="1:23" x14ac:dyDescent="0.35">
      <c r="A39" s="3" t="s">
        <v>6</v>
      </c>
      <c r="B39" s="3" t="s">
        <v>160</v>
      </c>
      <c r="C39" s="2" t="s">
        <v>142</v>
      </c>
      <c r="D39" s="2" t="s">
        <v>83</v>
      </c>
      <c r="E39" s="2" t="s">
        <v>107</v>
      </c>
      <c r="F39" s="3" t="s">
        <v>2</v>
      </c>
      <c r="H39">
        <v>6.2717099999999997</v>
      </c>
      <c r="I39">
        <v>1.2401899999999999</v>
      </c>
      <c r="J39">
        <v>4.3217600000000003</v>
      </c>
      <c r="U39" s="34">
        <v>7.5477100000000004</v>
      </c>
      <c r="V39" s="34">
        <v>2.5171700000000001</v>
      </c>
      <c r="W39" s="34">
        <v>4.3217600000000003</v>
      </c>
    </row>
    <row r="40" spans="1:23" x14ac:dyDescent="0.35">
      <c r="A40" s="3" t="s">
        <v>51</v>
      </c>
      <c r="B40" s="3" t="s">
        <v>160</v>
      </c>
      <c r="C40" s="2" t="s">
        <v>142</v>
      </c>
      <c r="D40" s="2" t="s">
        <v>127</v>
      </c>
      <c r="E40" s="2" t="s">
        <v>107</v>
      </c>
      <c r="F40" s="3" t="s">
        <v>85</v>
      </c>
      <c r="H40">
        <v>13.2814</v>
      </c>
      <c r="I40">
        <v>13.824400000000001</v>
      </c>
      <c r="J40">
        <v>10.346030000000001</v>
      </c>
      <c r="U40" s="34">
        <v>11.67193</v>
      </c>
      <c r="V40" s="34">
        <v>7.5303000000000004</v>
      </c>
      <c r="W40" s="34">
        <v>10.346030000000001</v>
      </c>
    </row>
    <row r="41" spans="1:23" x14ac:dyDescent="0.35">
      <c r="A41" s="3" t="s">
        <v>64</v>
      </c>
      <c r="B41" s="3" t="s">
        <v>160</v>
      </c>
      <c r="C41" s="2" t="s">
        <v>142</v>
      </c>
      <c r="D41" s="2" t="s">
        <v>84</v>
      </c>
      <c r="E41" s="2" t="s">
        <v>107</v>
      </c>
      <c r="F41" s="3" t="s">
        <v>2</v>
      </c>
      <c r="H41">
        <v>0</v>
      </c>
      <c r="I41">
        <v>0</v>
      </c>
      <c r="J41">
        <v>0</v>
      </c>
      <c r="U41" s="34">
        <v>0</v>
      </c>
      <c r="V41" s="34">
        <v>0</v>
      </c>
      <c r="W41" s="34">
        <v>0</v>
      </c>
    </row>
    <row r="42" spans="1:23" x14ac:dyDescent="0.35">
      <c r="A42" s="3" t="s">
        <v>52</v>
      </c>
      <c r="B42" s="3" t="s">
        <v>160</v>
      </c>
      <c r="C42" s="2" t="s">
        <v>142</v>
      </c>
      <c r="D42" s="2" t="s">
        <v>127</v>
      </c>
      <c r="E42" s="2" t="s">
        <v>107</v>
      </c>
      <c r="F42" s="3" t="s">
        <v>85</v>
      </c>
      <c r="H42">
        <v>0</v>
      </c>
      <c r="I42">
        <v>0</v>
      </c>
      <c r="J42">
        <v>13.747</v>
      </c>
      <c r="U42" s="34">
        <v>0</v>
      </c>
      <c r="V42" s="34">
        <v>10.215199999999999</v>
      </c>
      <c r="W42" s="34">
        <v>13.747</v>
      </c>
    </row>
    <row r="43" spans="1:23" x14ac:dyDescent="0.35">
      <c r="A43" s="3" t="s">
        <v>53</v>
      </c>
      <c r="B43" s="3" t="s">
        <v>160</v>
      </c>
      <c r="C43" s="2" t="s">
        <v>146</v>
      </c>
      <c r="D43" s="2" t="s">
        <v>84</v>
      </c>
      <c r="E43" s="2" t="s">
        <v>107</v>
      </c>
      <c r="F43" s="3" t="s">
        <v>70</v>
      </c>
      <c r="H43">
        <v>0</v>
      </c>
      <c r="I43">
        <v>0</v>
      </c>
      <c r="J43">
        <v>1.4750000000000001</v>
      </c>
      <c r="U43" s="34">
        <v>0</v>
      </c>
      <c r="V43" s="34">
        <v>0</v>
      </c>
      <c r="W43" s="34">
        <v>1.47</v>
      </c>
    </row>
    <row r="44" spans="1:23" x14ac:dyDescent="0.35">
      <c r="A44" s="3" t="s">
        <v>54</v>
      </c>
      <c r="B44" s="3" t="s">
        <v>160</v>
      </c>
      <c r="C44" s="2" t="s">
        <v>146</v>
      </c>
      <c r="D44" s="2" t="s">
        <v>154</v>
      </c>
      <c r="E44" s="2" t="s">
        <v>107</v>
      </c>
      <c r="F44" s="3" t="s">
        <v>70</v>
      </c>
      <c r="H44">
        <v>8.5328800000000005</v>
      </c>
      <c r="I44">
        <v>8.5328800000000005</v>
      </c>
      <c r="J44">
        <v>8.3970199999999995</v>
      </c>
      <c r="U44" s="34">
        <v>0</v>
      </c>
      <c r="V44" s="34">
        <v>0.13586000000000001</v>
      </c>
      <c r="W44" s="34">
        <v>0</v>
      </c>
    </row>
    <row r="45" spans="1:23" x14ac:dyDescent="0.35">
      <c r="A45" s="3" t="s">
        <v>55</v>
      </c>
      <c r="B45" s="3" t="s">
        <v>160</v>
      </c>
      <c r="C45" s="2" t="s">
        <v>146</v>
      </c>
      <c r="D45" s="2" t="s">
        <v>152</v>
      </c>
      <c r="E45" s="2" t="s">
        <v>107</v>
      </c>
      <c r="F45" s="3" t="s">
        <v>70</v>
      </c>
      <c r="H45">
        <v>0.90624000000000005</v>
      </c>
      <c r="I45">
        <v>0</v>
      </c>
      <c r="J45">
        <v>8.4037199999999999</v>
      </c>
      <c r="U45" s="34">
        <v>0.90624000000000005</v>
      </c>
      <c r="V45" s="34">
        <v>0</v>
      </c>
      <c r="W45" s="34">
        <v>8.4037199999999999</v>
      </c>
    </row>
    <row r="46" spans="1:23" x14ac:dyDescent="0.35">
      <c r="A46" s="3" t="s">
        <v>56</v>
      </c>
      <c r="B46" s="3" t="s">
        <v>160</v>
      </c>
      <c r="C46" s="2" t="s">
        <v>142</v>
      </c>
      <c r="D46" s="2" t="s">
        <v>83</v>
      </c>
      <c r="E46" s="2" t="s">
        <v>107</v>
      </c>
      <c r="F46" s="3" t="s">
        <v>2</v>
      </c>
      <c r="H46">
        <v>0</v>
      </c>
      <c r="I46">
        <v>0</v>
      </c>
      <c r="J46">
        <v>0</v>
      </c>
      <c r="U46" s="34">
        <v>22.59477</v>
      </c>
      <c r="V46" s="34">
        <v>0</v>
      </c>
      <c r="W46" s="34">
        <v>0</v>
      </c>
    </row>
    <row r="47" spans="1:23" x14ac:dyDescent="0.35">
      <c r="A47" s="3" t="s">
        <v>57</v>
      </c>
      <c r="B47" s="3" t="s">
        <v>160</v>
      </c>
      <c r="C47" s="2" t="s">
        <v>142</v>
      </c>
      <c r="D47" s="2" t="s">
        <v>83</v>
      </c>
      <c r="E47" s="2" t="s">
        <v>107</v>
      </c>
      <c r="F47" s="3" t="s">
        <v>2</v>
      </c>
      <c r="H47">
        <v>0</v>
      </c>
      <c r="I47">
        <v>0</v>
      </c>
      <c r="J47">
        <v>0</v>
      </c>
      <c r="U47" s="34">
        <v>3.0567199999999999</v>
      </c>
      <c r="V47" s="34">
        <v>7.8361999999999998</v>
      </c>
      <c r="W47" s="34">
        <v>0</v>
      </c>
    </row>
    <row r="48" spans="1:23" x14ac:dyDescent="0.35">
      <c r="A48" s="3" t="s">
        <v>58</v>
      </c>
      <c r="B48" s="3" t="s">
        <v>160</v>
      </c>
      <c r="C48" s="2" t="s">
        <v>143</v>
      </c>
      <c r="D48" s="2" t="s">
        <v>143</v>
      </c>
      <c r="E48" s="2" t="s">
        <v>107</v>
      </c>
      <c r="F48" s="3" t="s">
        <v>72</v>
      </c>
      <c r="H48">
        <v>48.80097</v>
      </c>
      <c r="I48">
        <v>12.18061</v>
      </c>
      <c r="J48">
        <v>31.74935</v>
      </c>
      <c r="U48" s="34">
        <v>107.89127999999999</v>
      </c>
      <c r="V48" s="34">
        <v>58.929850000000002</v>
      </c>
      <c r="W48" s="34">
        <v>31.74935</v>
      </c>
    </row>
    <row r="49" spans="1:23" x14ac:dyDescent="0.35">
      <c r="A49" s="3" t="s">
        <v>59</v>
      </c>
      <c r="B49" s="3" t="s">
        <v>160</v>
      </c>
      <c r="C49" s="2" t="s">
        <v>142</v>
      </c>
      <c r="D49" s="2" t="s">
        <v>83</v>
      </c>
      <c r="E49" s="2" t="s">
        <v>108</v>
      </c>
      <c r="F49" s="3" t="s">
        <v>2</v>
      </c>
      <c r="H49">
        <v>2.6549999999999998</v>
      </c>
      <c r="I49">
        <v>19.31307</v>
      </c>
      <c r="J49">
        <v>19.31307</v>
      </c>
      <c r="U49" s="34">
        <v>0</v>
      </c>
      <c r="V49" s="34">
        <v>0</v>
      </c>
      <c r="W49" s="34">
        <v>19.31307</v>
      </c>
    </row>
    <row r="50" spans="1:23" x14ac:dyDescent="0.35">
      <c r="A50" s="3" t="s">
        <v>82</v>
      </c>
      <c r="B50" s="3" t="s">
        <v>160</v>
      </c>
      <c r="C50" s="2" t="s">
        <v>142</v>
      </c>
      <c r="D50" s="2" t="s">
        <v>127</v>
      </c>
      <c r="E50" s="2" t="s">
        <v>108</v>
      </c>
      <c r="F50" s="3" t="s">
        <v>85</v>
      </c>
      <c r="H50">
        <v>7.4033199999999999</v>
      </c>
      <c r="I50">
        <v>10.589320000000001</v>
      </c>
      <c r="J50">
        <v>0</v>
      </c>
      <c r="U50" s="34">
        <v>0</v>
      </c>
      <c r="V50" s="34">
        <v>10.589320000000001</v>
      </c>
      <c r="W50" s="34">
        <v>0</v>
      </c>
    </row>
    <row r="51" spans="1:23" x14ac:dyDescent="0.35">
      <c r="A51" s="3" t="s">
        <v>30</v>
      </c>
      <c r="B51" s="3" t="s">
        <v>160</v>
      </c>
      <c r="C51" s="2" t="s">
        <v>142</v>
      </c>
      <c r="D51" s="2" t="s">
        <v>83</v>
      </c>
      <c r="E51" s="2" t="s">
        <v>108</v>
      </c>
      <c r="F51" s="3" t="s">
        <v>2</v>
      </c>
      <c r="H51">
        <v>0</v>
      </c>
      <c r="I51">
        <v>7.2256499999999999</v>
      </c>
      <c r="J51">
        <v>7.2256499999999999</v>
      </c>
      <c r="U51" s="34">
        <v>0</v>
      </c>
      <c r="V51" s="34">
        <v>0</v>
      </c>
      <c r="W51" s="34">
        <v>7.2256499999999999</v>
      </c>
    </row>
    <row r="52" spans="1:23" x14ac:dyDescent="0.35">
      <c r="A52" s="3" t="s">
        <v>19</v>
      </c>
      <c r="B52" s="3" t="s">
        <v>160</v>
      </c>
      <c r="C52" s="2" t="s">
        <v>142</v>
      </c>
      <c r="D52" s="2" t="s">
        <v>84</v>
      </c>
      <c r="E52" s="2" t="s">
        <v>107</v>
      </c>
      <c r="F52" s="3" t="s">
        <v>2</v>
      </c>
      <c r="H52">
        <v>0</v>
      </c>
      <c r="I52">
        <v>0</v>
      </c>
      <c r="J52">
        <v>0</v>
      </c>
      <c r="U52" s="34">
        <v>0</v>
      </c>
      <c r="V52" s="34">
        <v>0</v>
      </c>
      <c r="W52" s="34">
        <v>0</v>
      </c>
    </row>
    <row r="53" spans="1:23" x14ac:dyDescent="0.35">
      <c r="A53" s="3" t="s">
        <v>61</v>
      </c>
      <c r="B53" s="3" t="s">
        <v>160</v>
      </c>
      <c r="C53" s="2" t="s">
        <v>142</v>
      </c>
      <c r="D53" s="2" t="s">
        <v>84</v>
      </c>
      <c r="E53" s="2" t="s">
        <v>107</v>
      </c>
      <c r="F53" s="3" t="s">
        <v>2</v>
      </c>
      <c r="H53">
        <v>0</v>
      </c>
      <c r="I53">
        <v>0</v>
      </c>
      <c r="J53">
        <v>0</v>
      </c>
      <c r="U53" s="34">
        <v>0</v>
      </c>
      <c r="V53" s="34">
        <v>0</v>
      </c>
      <c r="W53" s="34">
        <v>0</v>
      </c>
    </row>
    <row r="54" spans="1:23" x14ac:dyDescent="0.35">
      <c r="A54" s="3" t="s">
        <v>62</v>
      </c>
      <c r="B54" s="3" t="s">
        <v>160</v>
      </c>
      <c r="C54" s="2" t="s">
        <v>146</v>
      </c>
      <c r="D54" s="2" t="s">
        <v>84</v>
      </c>
      <c r="E54" s="2" t="s">
        <v>107</v>
      </c>
      <c r="F54" s="3" t="s">
        <v>70</v>
      </c>
      <c r="H54">
        <v>0</v>
      </c>
      <c r="I54">
        <v>0</v>
      </c>
      <c r="J54">
        <v>0</v>
      </c>
      <c r="U54" s="34">
        <v>0</v>
      </c>
      <c r="V54" s="34">
        <v>0</v>
      </c>
      <c r="W54" s="34">
        <v>0</v>
      </c>
    </row>
    <row r="55" spans="1:23" x14ac:dyDescent="0.35">
      <c r="A55" s="3" t="s">
        <v>65</v>
      </c>
      <c r="B55" s="3" t="s">
        <v>161</v>
      </c>
      <c r="C55" s="2" t="s">
        <v>142</v>
      </c>
      <c r="D55" s="2" t="s">
        <v>127</v>
      </c>
      <c r="E55" s="2" t="s">
        <v>108</v>
      </c>
      <c r="F55" s="3" t="s">
        <v>85</v>
      </c>
      <c r="H55">
        <v>0</v>
      </c>
      <c r="I55">
        <v>0</v>
      </c>
      <c r="J55">
        <v>10.733280000000001</v>
      </c>
      <c r="U55" s="34">
        <v>0</v>
      </c>
      <c r="V55" s="34">
        <v>0</v>
      </c>
      <c r="W55" s="34">
        <v>10.733280000000001</v>
      </c>
    </row>
    <row r="56" spans="1:23" x14ac:dyDescent="0.35">
      <c r="A56" s="3" t="s">
        <v>122</v>
      </c>
      <c r="B56" s="3" t="s">
        <v>161</v>
      </c>
      <c r="C56" s="2" t="s">
        <v>142</v>
      </c>
      <c r="D56" s="2" t="s">
        <v>127</v>
      </c>
      <c r="E56" s="2" t="s">
        <v>108</v>
      </c>
      <c r="F56" s="3" t="s">
        <v>85</v>
      </c>
      <c r="H56">
        <v>0</v>
      </c>
      <c r="I56">
        <v>0</v>
      </c>
      <c r="J56">
        <v>0</v>
      </c>
      <c r="U56" s="34">
        <v>0</v>
      </c>
      <c r="V56" s="34">
        <v>0</v>
      </c>
      <c r="W56" s="34">
        <v>0</v>
      </c>
    </row>
    <row r="57" spans="1:23" x14ac:dyDescent="0.35">
      <c r="A57" s="3" t="s">
        <v>66</v>
      </c>
      <c r="B57" s="3" t="s">
        <v>160</v>
      </c>
      <c r="C57" s="2" t="s">
        <v>143</v>
      </c>
      <c r="D57" s="2" t="s">
        <v>143</v>
      </c>
      <c r="E57" s="2" t="s">
        <v>107</v>
      </c>
      <c r="F57" s="3" t="s">
        <v>66</v>
      </c>
      <c r="H57">
        <v>1.75278</v>
      </c>
      <c r="I57">
        <v>3.9618099999999998</v>
      </c>
      <c r="J57">
        <v>6.6078999999999999</v>
      </c>
      <c r="U57" s="34">
        <v>0</v>
      </c>
      <c r="V57" s="34">
        <v>0</v>
      </c>
      <c r="W57" s="34">
        <v>6.5937000000000001</v>
      </c>
    </row>
    <row r="58" spans="1:23" x14ac:dyDescent="0.35">
      <c r="A58" s="3" t="s">
        <v>67</v>
      </c>
      <c r="B58" s="3" t="s">
        <v>160</v>
      </c>
      <c r="C58" s="2" t="s">
        <v>147</v>
      </c>
      <c r="D58" s="2" t="s">
        <v>147</v>
      </c>
      <c r="E58" s="2" t="s">
        <v>107</v>
      </c>
      <c r="F58" s="3" t="s">
        <v>67</v>
      </c>
      <c r="H58">
        <v>0</v>
      </c>
      <c r="I58">
        <v>0</v>
      </c>
      <c r="J58">
        <v>0</v>
      </c>
      <c r="U58" s="34">
        <v>0</v>
      </c>
      <c r="V58" s="34">
        <v>0</v>
      </c>
      <c r="W58" s="34">
        <v>0</v>
      </c>
    </row>
    <row r="59" spans="1:23" x14ac:dyDescent="0.35">
      <c r="A59" s="16" t="s">
        <v>86</v>
      </c>
      <c r="B59" s="3" t="s">
        <v>160</v>
      </c>
      <c r="C59" s="2" t="s">
        <v>142</v>
      </c>
      <c r="D59" s="2" t="s">
        <v>83</v>
      </c>
      <c r="E59" s="2" t="s">
        <v>108</v>
      </c>
      <c r="F59" s="16" t="s">
        <v>2</v>
      </c>
      <c r="H59">
        <v>0</v>
      </c>
      <c r="I59">
        <v>0</v>
      </c>
      <c r="J59">
        <v>0</v>
      </c>
      <c r="U59" s="34">
        <v>0</v>
      </c>
      <c r="V59" s="34">
        <v>0</v>
      </c>
      <c r="W59" s="34">
        <v>0</v>
      </c>
    </row>
    <row r="60" spans="1:23" x14ac:dyDescent="0.35">
      <c r="A60" s="16" t="s">
        <v>87</v>
      </c>
      <c r="B60" s="3" t="s">
        <v>160</v>
      </c>
      <c r="C60" s="2" t="s">
        <v>142</v>
      </c>
      <c r="D60" s="2" t="s">
        <v>83</v>
      </c>
      <c r="E60" s="2" t="s">
        <v>108</v>
      </c>
      <c r="F60" s="16" t="s">
        <v>2</v>
      </c>
      <c r="H60">
        <v>2.29799</v>
      </c>
      <c r="I60">
        <v>0</v>
      </c>
      <c r="J60">
        <v>0</v>
      </c>
      <c r="U60" s="34">
        <v>2.3548499999999999</v>
      </c>
      <c r="V60" s="34">
        <v>0</v>
      </c>
      <c r="W60" s="34">
        <v>0</v>
      </c>
    </row>
    <row r="61" spans="1:23" x14ac:dyDescent="0.35">
      <c r="A61" s="16" t="s">
        <v>109</v>
      </c>
      <c r="B61" s="3" t="s">
        <v>160</v>
      </c>
      <c r="C61" s="2" t="s">
        <v>109</v>
      </c>
      <c r="D61" s="2" t="s">
        <v>109</v>
      </c>
      <c r="E61" s="2" t="s">
        <v>107</v>
      </c>
      <c r="F61" s="16" t="s">
        <v>109</v>
      </c>
      <c r="H61">
        <v>0</v>
      </c>
      <c r="I61">
        <v>0</v>
      </c>
      <c r="J61">
        <v>0</v>
      </c>
      <c r="U61" s="34">
        <v>0</v>
      </c>
      <c r="V61" s="34">
        <v>0</v>
      </c>
      <c r="W61" s="34">
        <v>0</v>
      </c>
    </row>
    <row r="62" spans="1:23" x14ac:dyDescent="0.35">
      <c r="A62" s="16" t="s">
        <v>110</v>
      </c>
      <c r="B62" s="3" t="s">
        <v>161</v>
      </c>
      <c r="C62" s="2" t="s">
        <v>148</v>
      </c>
      <c r="D62" s="2" t="s">
        <v>148</v>
      </c>
      <c r="E62" s="23" t="s">
        <v>107</v>
      </c>
      <c r="F62" s="16" t="s">
        <v>111</v>
      </c>
      <c r="H62">
        <v>0</v>
      </c>
      <c r="I62">
        <v>0</v>
      </c>
      <c r="J62">
        <v>0</v>
      </c>
      <c r="U62" s="34">
        <v>0</v>
      </c>
      <c r="V62" s="34">
        <v>0</v>
      </c>
      <c r="W62" s="34">
        <v>0</v>
      </c>
    </row>
    <row r="63" spans="1:23" x14ac:dyDescent="0.35">
      <c r="A63" s="16" t="s">
        <v>118</v>
      </c>
      <c r="B63" s="3" t="s">
        <v>160</v>
      </c>
      <c r="C63" s="2" t="s">
        <v>146</v>
      </c>
      <c r="D63" s="2" t="s">
        <v>119</v>
      </c>
      <c r="E63" s="23" t="s">
        <v>108</v>
      </c>
      <c r="F63" s="16" t="s">
        <v>70</v>
      </c>
      <c r="H63">
        <v>0</v>
      </c>
      <c r="I63">
        <v>0</v>
      </c>
      <c r="J63">
        <v>1.2507999999999999</v>
      </c>
      <c r="U63" s="34">
        <v>0</v>
      </c>
      <c r="V63" s="34">
        <v>0</v>
      </c>
      <c r="W63" s="34">
        <v>1.2507999999999999</v>
      </c>
    </row>
    <row r="64" spans="1:23" x14ac:dyDescent="0.35">
      <c r="A64" s="16" t="s">
        <v>120</v>
      </c>
      <c r="B64" s="3" t="s">
        <v>160</v>
      </c>
      <c r="C64" s="2" t="s">
        <v>146</v>
      </c>
      <c r="D64" s="2" t="s">
        <v>154</v>
      </c>
      <c r="E64" s="23" t="s">
        <v>107</v>
      </c>
      <c r="F64" s="16" t="s">
        <v>70</v>
      </c>
      <c r="H64">
        <v>5.3819499999999998</v>
      </c>
      <c r="I64">
        <v>5.3819499999999998</v>
      </c>
      <c r="J64">
        <v>5.3819499999999998</v>
      </c>
      <c r="U64" s="34">
        <v>0</v>
      </c>
      <c r="V64" s="34">
        <v>0</v>
      </c>
      <c r="W64" s="34">
        <v>5.3819499999999998</v>
      </c>
    </row>
    <row r="65" spans="1:23" x14ac:dyDescent="0.35">
      <c r="A65" s="16" t="s">
        <v>138</v>
      </c>
      <c r="B65" s="3" t="s">
        <v>160</v>
      </c>
      <c r="C65" s="2" t="s">
        <v>142</v>
      </c>
      <c r="D65" s="2" t="s">
        <v>83</v>
      </c>
      <c r="E65" s="23" t="s">
        <v>107</v>
      </c>
      <c r="F65" s="16" t="s">
        <v>2</v>
      </c>
      <c r="H65">
        <v>0.61626000000000003</v>
      </c>
      <c r="I65">
        <v>0.61626000000000003</v>
      </c>
      <c r="J65">
        <v>0.61626000000000003</v>
      </c>
      <c r="U65" s="34">
        <v>0</v>
      </c>
      <c r="V65" s="34">
        <v>0</v>
      </c>
      <c r="W65" s="34">
        <v>0.61626000000000003</v>
      </c>
    </row>
    <row r="66" spans="1:23" x14ac:dyDescent="0.35">
      <c r="A66" s="16" t="s">
        <v>139</v>
      </c>
      <c r="B66" s="3" t="s">
        <v>160</v>
      </c>
      <c r="C66" s="2" t="s">
        <v>146</v>
      </c>
      <c r="D66" s="2" t="s">
        <v>150</v>
      </c>
      <c r="E66" s="23" t="s">
        <v>107</v>
      </c>
      <c r="F66" s="16" t="s">
        <v>70</v>
      </c>
      <c r="H66">
        <v>12.460800000000001</v>
      </c>
      <c r="I66">
        <v>6.2304000000000004</v>
      </c>
      <c r="J66">
        <v>6.2304000000000004</v>
      </c>
      <c r="U66" s="34">
        <v>0</v>
      </c>
      <c r="V66" s="34">
        <v>0</v>
      </c>
      <c r="W66" s="34">
        <v>6.2304000000000004</v>
      </c>
    </row>
    <row r="67" spans="1:23" x14ac:dyDescent="0.35">
      <c r="A67" s="16" t="s">
        <v>140</v>
      </c>
      <c r="B67" s="3" t="s">
        <v>160</v>
      </c>
      <c r="C67" s="2" t="s">
        <v>142</v>
      </c>
      <c r="D67" s="2" t="s">
        <v>83</v>
      </c>
      <c r="E67" s="23" t="s">
        <v>107</v>
      </c>
      <c r="F67" s="16" t="s">
        <v>2</v>
      </c>
      <c r="H67">
        <v>2.5488</v>
      </c>
      <c r="I67">
        <v>2.5488</v>
      </c>
      <c r="J67">
        <v>2.5488</v>
      </c>
      <c r="U67" s="34">
        <v>0</v>
      </c>
      <c r="V67" s="34">
        <v>0</v>
      </c>
      <c r="W67" s="34">
        <v>2.5488</v>
      </c>
    </row>
    <row r="68" spans="1:23" x14ac:dyDescent="0.35">
      <c r="A68" s="16" t="s">
        <v>141</v>
      </c>
      <c r="B68" s="3" t="s">
        <v>160</v>
      </c>
      <c r="C68" s="2" t="s">
        <v>146</v>
      </c>
      <c r="D68" s="2" t="s">
        <v>146</v>
      </c>
      <c r="E68" s="23" t="s">
        <v>107</v>
      </c>
      <c r="F68" s="16" t="s">
        <v>70</v>
      </c>
      <c r="H68">
        <v>1.6637999999999999</v>
      </c>
      <c r="I68">
        <v>0</v>
      </c>
      <c r="J68">
        <v>0</v>
      </c>
      <c r="U68" s="34">
        <v>0</v>
      </c>
      <c r="V68" s="34">
        <v>0</v>
      </c>
      <c r="W68" s="34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2026-07-03T03:12:02Z</dcterms:modified>
</cp:coreProperties>
</file>